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e\OneDrive\Documents\Computing\Project presentation\"/>
    </mc:Choice>
  </mc:AlternateContent>
  <xr:revisionPtr revIDLastSave="0" documentId="13_ncr:1_{7C7E82AE-D062-4F5C-87C3-B333BFF65C0C}" xr6:coauthVersionLast="47" xr6:coauthVersionMax="47" xr10:uidLastSave="{00000000-0000-0000-0000-000000000000}"/>
  <bookViews>
    <workbookView xWindow="-108" yWindow="-108" windowWidth="40560" windowHeight="17496" xr2:uid="{C353E466-CA4F-469D-98C3-B83BE9E67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01" i="1"/>
  <c r="H96" i="1"/>
  <c r="H95" i="1"/>
  <c r="H94" i="1"/>
  <c r="H93" i="1"/>
  <c r="H92" i="1"/>
  <c r="H91" i="1"/>
  <c r="G91" i="1" s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K91" i="1"/>
  <c r="J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91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I3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48" i="1"/>
  <c r="F64" i="1"/>
  <c r="H48" i="1"/>
  <c r="L67" i="1"/>
  <c r="L65" i="1"/>
  <c r="L63" i="1"/>
  <c r="L61" i="1"/>
  <c r="L60" i="1"/>
  <c r="L58" i="1"/>
  <c r="L56" i="1"/>
  <c r="L54" i="1"/>
  <c r="L52" i="1"/>
  <c r="L50" i="1"/>
  <c r="L49" i="1"/>
  <c r="F68" i="1"/>
  <c r="F67" i="1"/>
  <c r="F66" i="1"/>
  <c r="F65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E41" i="1"/>
  <c r="E40" i="1"/>
  <c r="E39" i="1"/>
  <c r="E38" i="1"/>
  <c r="E37" i="1"/>
  <c r="E36" i="1"/>
  <c r="E35" i="1"/>
  <c r="E33" i="1"/>
  <c r="D44" i="1"/>
  <c r="C44" i="1"/>
  <c r="J28" i="1"/>
  <c r="I4" i="1"/>
  <c r="I5" i="1"/>
  <c r="I6" i="1"/>
  <c r="I7" i="1"/>
  <c r="I8" i="1"/>
  <c r="I9" i="1"/>
  <c r="I10" i="1"/>
  <c r="I11" i="1"/>
  <c r="I12" i="1"/>
  <c r="I13" i="1"/>
  <c r="K28" i="1"/>
  <c r="J14" i="1"/>
  <c r="E28" i="1"/>
  <c r="D28" i="1"/>
  <c r="D14" i="1"/>
  <c r="C14" i="1"/>
  <c r="H103" i="1" l="1"/>
  <c r="G103" i="1" s="1"/>
  <c r="H105" i="1"/>
  <c r="G105" i="1" s="1"/>
  <c r="H98" i="1"/>
  <c r="G98" i="1" s="1"/>
  <c r="H106" i="1"/>
  <c r="G106" i="1" s="1"/>
  <c r="H99" i="1"/>
  <c r="G99" i="1" s="1"/>
  <c r="H100" i="1"/>
  <c r="G100" i="1" s="1"/>
  <c r="H102" i="1"/>
  <c r="G102" i="1" s="1"/>
  <c r="H104" i="1"/>
  <c r="G104" i="1" s="1"/>
  <c r="H97" i="1"/>
  <c r="H108" i="1"/>
  <c r="G108" i="1" s="1"/>
  <c r="H110" i="1"/>
  <c r="G110" i="1" s="1"/>
  <c r="H111" i="1"/>
  <c r="G111" i="1" s="1"/>
  <c r="G97" i="1"/>
  <c r="H107" i="1"/>
  <c r="G107" i="1" s="1"/>
  <c r="H109" i="1"/>
  <c r="G109" i="1" s="1"/>
  <c r="G101" i="1"/>
  <c r="G95" i="1"/>
  <c r="G93" i="1"/>
  <c r="G96" i="1"/>
  <c r="G92" i="1"/>
  <c r="G94" i="1"/>
  <c r="H61" i="1"/>
  <c r="H49" i="1"/>
  <c r="H68" i="1"/>
  <c r="H54" i="1"/>
  <c r="H62" i="1"/>
  <c r="H55" i="1"/>
  <c r="H63" i="1"/>
  <c r="H56" i="1"/>
  <c r="H64" i="1"/>
  <c r="H51" i="1"/>
  <c r="H57" i="1"/>
  <c r="H65" i="1"/>
  <c r="H50" i="1"/>
  <c r="H58" i="1"/>
  <c r="H66" i="1"/>
  <c r="H59" i="1"/>
  <c r="H67" i="1"/>
  <c r="H52" i="1"/>
  <c r="H60" i="1"/>
  <c r="H53" i="1"/>
</calcChain>
</file>

<file path=xl/sharedStrings.xml><?xml version="1.0" encoding="utf-8"?>
<sst xmlns="http://schemas.openxmlformats.org/spreadsheetml/2006/main" count="162" uniqueCount="54">
  <si>
    <t>Corner</t>
  </si>
  <si>
    <t>Speed</t>
  </si>
  <si>
    <t>Time</t>
  </si>
  <si>
    <t>Distance</t>
  </si>
  <si>
    <t>1A</t>
  </si>
  <si>
    <t>1B</t>
  </si>
  <si>
    <t>Corkscrew A</t>
  </si>
  <si>
    <t>Corkscrew B</t>
  </si>
  <si>
    <t>Sector</t>
  </si>
  <si>
    <t>Final Straight</t>
  </si>
  <si>
    <t>total time 90.651  =  1:30.65</t>
  </si>
  <si>
    <t>Dodge Viper</t>
  </si>
  <si>
    <t>Bugatti Veyron Supersport</t>
  </si>
  <si>
    <t>Downforce 3923@256</t>
  </si>
  <si>
    <t>1412n@150</t>
  </si>
  <si>
    <t>Straight Line 1</t>
  </si>
  <si>
    <t>Straight Line 2</t>
  </si>
  <si>
    <t>Straight Line3</t>
  </si>
  <si>
    <t>Straight Line 4</t>
  </si>
  <si>
    <t>Straight Line 5</t>
  </si>
  <si>
    <t>Straight Line 6</t>
  </si>
  <si>
    <t>Straight Line 7</t>
  </si>
  <si>
    <t>Straight Line 8</t>
  </si>
  <si>
    <t>Straight Line 9</t>
  </si>
  <si>
    <t>Running Time (seconds</t>
  </si>
  <si>
    <t>Distance (metres)</t>
  </si>
  <si>
    <t>Initial Velocity (m/s)</t>
  </si>
  <si>
    <t>Final Velocity (m/s)</t>
  </si>
  <si>
    <t>Time (Seconds)</t>
  </si>
  <si>
    <t>Corner 1A</t>
  </si>
  <si>
    <t>Corner 1B</t>
  </si>
  <si>
    <t>Corner 2</t>
  </si>
  <si>
    <t>Corner 3</t>
  </si>
  <si>
    <t>Corner 4</t>
  </si>
  <si>
    <t>Corner 5</t>
  </si>
  <si>
    <t>Corner 7</t>
  </si>
  <si>
    <t>Corner 8</t>
  </si>
  <si>
    <t>Corner 9</t>
  </si>
  <si>
    <t>Total time 1:29.81</t>
  </si>
  <si>
    <t>Total Time 1:29.81</t>
  </si>
  <si>
    <t>Split time</t>
  </si>
  <si>
    <t>1990kg</t>
  </si>
  <si>
    <t>20869N</t>
  </si>
  <si>
    <t>Radius of circle(m)</t>
  </si>
  <si>
    <t>Speed(m/s)</t>
  </si>
  <si>
    <t>Distance(m)</t>
  </si>
  <si>
    <t>Time(secs)</t>
  </si>
  <si>
    <t>Time(s)</t>
  </si>
  <si>
    <t>Initial Velocity(m/s)</t>
  </si>
  <si>
    <t>Final Velocity(m/s)</t>
  </si>
  <si>
    <t>Time(m/s)</t>
  </si>
  <si>
    <t>Initial Velocity (mph)</t>
  </si>
  <si>
    <t>Final Velocity (mph)</t>
  </si>
  <si>
    <t>Bugatti Supersport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</si>
</sst>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2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right"/>
    </xf>
    <xf numFmtId="164" fontId="1" fillId="2" borderId="0" xfId="1" applyNumberFormat="1"/>
    <xf numFmtId="164" fontId="0" fillId="0" borderId="0" xfId="0" applyNumberFormat="1" applyAlignment="1">
      <alignment horizontal="left"/>
    </xf>
  </cellXfs>
  <cellStyles count="3">
    <cellStyle name="Bad" xfId="1" builtinId="27"/>
    <cellStyle name="Hyperlink" xfId="2" builtinId="8"/>
    <cellStyle name="Normal" xfId="0" builtinId="0"/>
  </cellStyles>
  <dxfs count="32">
    <dxf>
      <numFmt numFmtId="164" formatCode="0.000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D2AFF-F7AC-47B5-805E-6068371259EF}" name="Table3" displayName="Table3" ref="A47:F68" totalsRowShown="0" headerRowDxfId="31" dataDxfId="30">
  <autoFilter ref="A47:F68" xr:uid="{AECD2AFF-F7AC-47B5-805E-6068371259EF}"/>
  <tableColumns count="6">
    <tableColumn id="1" xr3:uid="{C5117299-B7A1-4E8C-8393-E1AD364E60A4}" name="Sector" dataDxfId="29"/>
    <tableColumn id="2" xr3:uid="{58FEF5D4-C892-4370-8AFB-6B603CFAF00B}" name="Initial Velocity (m/s)" dataDxfId="28"/>
    <tableColumn id="3" xr3:uid="{352BBE49-118E-487A-85ED-4E1F5D4D9DEE}" name="Final Velocity (m/s)" dataDxfId="27"/>
    <tableColumn id="4" xr3:uid="{35ABB262-9532-4EA5-9E88-C2AD4BC83303}" name="Time (Seconds)" dataDxfId="26"/>
    <tableColumn id="5" xr3:uid="{C6C5C135-790E-4755-93F7-08DC9E870B4F}" name="Distance (metres)" dataDxfId="25"/>
    <tableColumn id="6" xr3:uid="{BB567FD9-CA33-4D6C-8872-FEC0FB305A84}" name="Running Time (seconds" dataDxfId="2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BCA65-E240-425B-B0B7-5872AD7348B3}" name="Table4" displayName="Table4" ref="H47:M68" totalsRowShown="0" headerRowDxfId="23" dataDxfId="22">
  <autoFilter ref="H47:M68" xr:uid="{FB1BCA65-E240-425B-B0B7-5872AD7348B3}"/>
  <tableColumns count="6">
    <tableColumn id="1" xr3:uid="{D85327B5-27F9-4122-9B6E-AB832A99A491}" name="Running Time (seconds" dataDxfId="21"/>
    <tableColumn id="2" xr3:uid="{4910A466-46D5-4A6A-B773-E1FDC693AF40}" name="Sector" dataDxfId="20"/>
    <tableColumn id="3" xr3:uid="{A92BA722-119C-4A2A-BB7E-F5958691DBB9}" name="Initial Velocity (m/s)" dataDxfId="19"/>
    <tableColumn id="4" xr3:uid="{ADBD4B70-93F9-4388-AB1E-E1000AAC5738}" name="Final Velocity (m/s)" dataDxfId="18"/>
    <tableColumn id="5" xr3:uid="{A4370366-84A2-4188-A413-CE2B5030D2B4}" name="Time (Seconds)" dataDxfId="17"/>
    <tableColumn id="6" xr3:uid="{410DF39C-6820-43E4-8BA6-03D496063B88}" name="Distance (metres)" dataDxfId="1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8680E-5722-433E-A833-F44DCCDAE7B5}" name="Table32" displayName="Table32" ref="A90:F111" totalsRowShown="0" headerRowDxfId="15" dataDxfId="14">
  <autoFilter ref="A90:F111" xr:uid="{00F8680E-5722-433E-A833-F44DCCDAE7B5}"/>
  <tableColumns count="6">
    <tableColumn id="1" xr3:uid="{1D806047-2648-475A-B437-A26804C76304}" name="Sector" dataDxfId="13"/>
    <tableColumn id="2" xr3:uid="{31FD686E-2BAB-441C-8F8F-EAEFDF7A8A93}" name="Initial Velocity (mph)" dataDxfId="4">
      <calculatedColumnFormula>B48*2.23694</calculatedColumnFormula>
    </tableColumn>
    <tableColumn id="3" xr3:uid="{8C3FD0C2-B215-47E5-BA25-E58CA59B583B}" name="Final Velocity (mph)" dataDxfId="3">
      <calculatedColumnFormula>C48*2.23694</calculatedColumnFormula>
    </tableColumn>
    <tableColumn id="4" xr3:uid="{E6EC8E76-2785-4576-AD5D-9D10557C9E91}" name="Time (Seconds)" dataDxfId="12"/>
    <tableColumn id="5" xr3:uid="{61B0D61C-DA5C-4259-BED6-EEC094CC8094}" name="Distance (metres)" dataDxfId="11"/>
    <tableColumn id="6" xr3:uid="{C85C52A0-D41B-4D13-8F47-2CD8C994400B}" name="Running Time (seconds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9AC04F-5196-4D46-BE95-02E7F677A7F6}" name="Table43" displayName="Table43" ref="H90:M111" totalsRowShown="0" headerRowDxfId="9" dataDxfId="8">
  <autoFilter ref="H90:M111" xr:uid="{AB9AC04F-5196-4D46-BE95-02E7F677A7F6}"/>
  <tableColumns count="6">
    <tableColumn id="1" xr3:uid="{168FDCA9-50DA-48CA-912B-B65EC2D12ECD}" name="Running Time (seconds" dataDxfId="1"/>
    <tableColumn id="2" xr3:uid="{6B4310E5-3875-4405-B0AF-4E3B7741BC79}" name="Sector" dataDxfId="7"/>
    <tableColumn id="3" xr3:uid="{09FEE2C0-F527-482D-9C7A-E854128EDA36}" name="Initial Velocity (mph)" dataDxfId="6">
      <calculatedColumnFormula>J48*2.23694</calculatedColumnFormula>
    </tableColumn>
    <tableColumn id="4" xr3:uid="{751D7963-E83B-479E-A290-52EC9B23590C}" name="Final Velocity (mph)" dataDxfId="2">
      <calculatedColumnFormula>K48*2.23694</calculatedColumnFormula>
    </tableColumn>
    <tableColumn id="5" xr3:uid="{8D844B64-876E-4F09-AC7B-EDDFA818DA18}" name="Time (Seconds)" dataDxfId="0"/>
    <tableColumn id="6" xr3:uid="{471861B6-B2C8-4D48-BD72-10B2BDB74B12}" name="Distance (metres)" dataDxfId="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412n@150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CE9E-6D22-46AE-8F05-E327A7A18B78}">
  <dimension ref="A1:R116"/>
  <sheetViews>
    <sheetView tabSelected="1" topLeftCell="A76" zoomScale="110" zoomScaleNormal="110" workbookViewId="0">
      <selection activeCell="S115" sqref="S115"/>
    </sheetView>
  </sheetViews>
  <sheetFormatPr defaultRowHeight="14.4" x14ac:dyDescent="0.3"/>
  <cols>
    <col min="1" max="1" width="17.6640625" customWidth="1"/>
    <col min="2" max="2" width="19.5546875" customWidth="1"/>
    <col min="3" max="3" width="18.77734375" customWidth="1"/>
    <col min="4" max="4" width="27" customWidth="1"/>
    <col min="5" max="5" width="26" customWidth="1"/>
    <col min="6" max="6" width="22.109375" customWidth="1"/>
    <col min="7" max="7" width="17.88671875" customWidth="1"/>
    <col min="8" max="8" width="22.109375" customWidth="1"/>
    <col min="9" max="9" width="18" customWidth="1"/>
    <col min="10" max="10" width="19.5546875" customWidth="1"/>
    <col min="11" max="11" width="18.77734375" customWidth="1"/>
    <col min="12" max="12" width="26.109375" customWidth="1"/>
    <col min="13" max="13" width="17.6640625" customWidth="1"/>
  </cols>
  <sheetData>
    <row r="1" spans="1:11" x14ac:dyDescent="0.3">
      <c r="A1" t="s">
        <v>11</v>
      </c>
      <c r="G1" t="s">
        <v>12</v>
      </c>
    </row>
    <row r="2" spans="1:11" x14ac:dyDescent="0.3">
      <c r="A2" s="1" t="s">
        <v>0</v>
      </c>
      <c r="B2" s="1" t="s">
        <v>44</v>
      </c>
      <c r="C2" s="1" t="s">
        <v>46</v>
      </c>
      <c r="D2" s="1" t="s">
        <v>45</v>
      </c>
      <c r="E2" s="1" t="s">
        <v>43</v>
      </c>
      <c r="G2" s="1" t="s">
        <v>0</v>
      </c>
      <c r="H2" s="1" t="s">
        <v>44</v>
      </c>
      <c r="I2" s="1" t="s">
        <v>47</v>
      </c>
      <c r="J2" s="1" t="s">
        <v>45</v>
      </c>
      <c r="K2" s="1" t="s">
        <v>43</v>
      </c>
    </row>
    <row r="3" spans="1:11" x14ac:dyDescent="0.3">
      <c r="A3" s="1">
        <v>9</v>
      </c>
      <c r="B3" s="1">
        <v>21.106000000000002</v>
      </c>
      <c r="C3" s="1">
        <v>3.3969999999999998</v>
      </c>
      <c r="D3" s="1">
        <v>71.7</v>
      </c>
      <c r="E3" s="1">
        <v>33.54</v>
      </c>
      <c r="G3" s="1">
        <v>9</v>
      </c>
      <c r="H3" s="1">
        <v>18.783000000000001</v>
      </c>
      <c r="I3" s="4">
        <f>J3/H3</f>
        <v>3.8172815844114356</v>
      </c>
      <c r="J3" s="1">
        <v>71.7</v>
      </c>
      <c r="K3" s="1">
        <v>33.54</v>
      </c>
    </row>
    <row r="4" spans="1:11" x14ac:dyDescent="0.3">
      <c r="A4" s="1" t="s">
        <v>4</v>
      </c>
      <c r="B4" s="1">
        <v>28.024999999999999</v>
      </c>
      <c r="C4" s="1">
        <v>2.6120000000000001</v>
      </c>
      <c r="D4" s="1">
        <v>73.2</v>
      </c>
      <c r="E4" s="1">
        <v>59.21</v>
      </c>
      <c r="G4" s="1" t="s">
        <v>4</v>
      </c>
      <c r="H4" s="1">
        <v>24.956</v>
      </c>
      <c r="I4" s="4">
        <f t="shared" ref="I4:I13" si="0">J4/H4</f>
        <v>2.9331623657637445</v>
      </c>
      <c r="J4" s="1">
        <v>73.2</v>
      </c>
      <c r="K4" s="1">
        <v>59.21</v>
      </c>
    </row>
    <row r="5" spans="1:11" x14ac:dyDescent="0.3">
      <c r="A5" s="1" t="s">
        <v>5</v>
      </c>
      <c r="B5" s="1">
        <v>20.497</v>
      </c>
      <c r="C5" s="1">
        <v>2.903</v>
      </c>
      <c r="D5" s="1">
        <v>59.5</v>
      </c>
      <c r="E5" s="1">
        <v>31.67</v>
      </c>
      <c r="G5" s="1" t="s">
        <v>5</v>
      </c>
      <c r="H5" s="1">
        <v>18.253</v>
      </c>
      <c r="I5" s="4">
        <f t="shared" si="0"/>
        <v>3.2597381252396866</v>
      </c>
      <c r="J5" s="1">
        <v>59.5</v>
      </c>
      <c r="K5" s="1">
        <v>31.67</v>
      </c>
    </row>
    <row r="6" spans="1:11" x14ac:dyDescent="0.3">
      <c r="A6" s="1">
        <v>2</v>
      </c>
      <c r="B6" s="1">
        <v>31.366</v>
      </c>
      <c r="C6" s="1">
        <v>3.8580000000000001</v>
      </c>
      <c r="D6" s="1">
        <v>121</v>
      </c>
      <c r="E6" s="1">
        <v>74.17</v>
      </c>
      <c r="G6" s="1">
        <v>2</v>
      </c>
      <c r="H6" s="1">
        <v>27.931999999999999</v>
      </c>
      <c r="I6" s="4">
        <f t="shared" si="0"/>
        <v>4.3319490190462551</v>
      </c>
      <c r="J6" s="1">
        <v>121</v>
      </c>
      <c r="K6" s="1">
        <v>74.17</v>
      </c>
    </row>
    <row r="7" spans="1:11" x14ac:dyDescent="0.3">
      <c r="A7" s="1">
        <v>3</v>
      </c>
      <c r="B7" s="1">
        <v>38.634999999999998</v>
      </c>
      <c r="C7" s="1">
        <v>3.65</v>
      </c>
      <c r="D7" s="1">
        <v>141</v>
      </c>
      <c r="E7" s="1">
        <v>112.52</v>
      </c>
      <c r="G7" s="1">
        <v>3</v>
      </c>
      <c r="H7" s="1">
        <v>34.405000000000001</v>
      </c>
      <c r="I7" s="4">
        <f t="shared" si="0"/>
        <v>4.0982415346606595</v>
      </c>
      <c r="J7" s="1">
        <v>141</v>
      </c>
      <c r="K7" s="1">
        <v>112.52</v>
      </c>
    </row>
    <row r="8" spans="1:11" x14ac:dyDescent="0.3">
      <c r="A8" s="1">
        <v>4</v>
      </c>
      <c r="B8" s="1">
        <v>31.800999999999998</v>
      </c>
      <c r="C8" s="1">
        <v>4.843</v>
      </c>
      <c r="D8" s="1">
        <v>154</v>
      </c>
      <c r="E8" s="1">
        <v>76.239999999999995</v>
      </c>
      <c r="G8" s="1">
        <v>4</v>
      </c>
      <c r="H8" s="1">
        <v>28.318999999999999</v>
      </c>
      <c r="I8" s="4">
        <f t="shared" si="0"/>
        <v>5.4380451287121723</v>
      </c>
      <c r="J8" s="1">
        <v>154</v>
      </c>
      <c r="K8" s="1">
        <v>76.239999999999995</v>
      </c>
    </row>
    <row r="9" spans="1:11" x14ac:dyDescent="0.3">
      <c r="A9" s="1">
        <v>5</v>
      </c>
      <c r="B9" s="1">
        <v>38.960999999999999</v>
      </c>
      <c r="C9" s="1">
        <v>2.823</v>
      </c>
      <c r="D9" s="1">
        <v>110</v>
      </c>
      <c r="E9" s="1">
        <v>114.43</v>
      </c>
      <c r="G9" s="1">
        <v>5</v>
      </c>
      <c r="H9" s="1">
        <v>34.695999999999998</v>
      </c>
      <c r="I9" s="4">
        <f t="shared" si="0"/>
        <v>3.1703942817615864</v>
      </c>
      <c r="J9" s="1">
        <v>110</v>
      </c>
      <c r="K9" s="1">
        <v>114.43</v>
      </c>
    </row>
    <row r="10" spans="1:11" x14ac:dyDescent="0.3">
      <c r="A10" s="1" t="s">
        <v>6</v>
      </c>
      <c r="B10" s="1">
        <v>20.6</v>
      </c>
      <c r="C10" s="1">
        <v>2.4369999999999998</v>
      </c>
      <c r="D10" s="1">
        <v>50.2</v>
      </c>
      <c r="E10" s="1">
        <v>21.99</v>
      </c>
      <c r="G10" s="1" t="s">
        <v>6</v>
      </c>
      <c r="H10" s="1">
        <v>18.344999999999999</v>
      </c>
      <c r="I10" s="4">
        <f t="shared" si="0"/>
        <v>2.7364404469882806</v>
      </c>
      <c r="J10" s="1">
        <v>50.2</v>
      </c>
      <c r="K10" s="1">
        <v>21.99</v>
      </c>
    </row>
    <row r="11" spans="1:11" x14ac:dyDescent="0.3">
      <c r="A11" s="1" t="s">
        <v>7</v>
      </c>
      <c r="B11" s="1">
        <v>25.582999999999998</v>
      </c>
      <c r="C11" s="1">
        <v>2.5950000000000002</v>
      </c>
      <c r="D11" s="1">
        <v>66.400000000000006</v>
      </c>
      <c r="E11" s="1">
        <v>49.34</v>
      </c>
      <c r="G11" s="1" t="s">
        <v>7</v>
      </c>
      <c r="H11" s="1">
        <v>22.782</v>
      </c>
      <c r="I11" s="4">
        <f t="shared" si="0"/>
        <v>2.9145816872969892</v>
      </c>
      <c r="J11" s="1">
        <v>66.400000000000006</v>
      </c>
      <c r="K11" s="1">
        <v>49.34</v>
      </c>
    </row>
    <row r="12" spans="1:11" x14ac:dyDescent="0.3">
      <c r="A12" s="1">
        <v>7</v>
      </c>
      <c r="B12" s="1">
        <v>36.585999999999999</v>
      </c>
      <c r="C12" s="1">
        <v>5.6310000000000002</v>
      </c>
      <c r="D12" s="1">
        <v>206</v>
      </c>
      <c r="E12" s="1">
        <v>100.9</v>
      </c>
      <c r="G12" s="1">
        <v>7</v>
      </c>
      <c r="H12" s="1">
        <v>32.58</v>
      </c>
      <c r="I12" s="4">
        <f t="shared" si="0"/>
        <v>6.3228974831184779</v>
      </c>
      <c r="J12" s="1">
        <v>206</v>
      </c>
      <c r="K12" s="1">
        <v>100.9</v>
      </c>
    </row>
    <row r="13" spans="1:11" x14ac:dyDescent="0.3">
      <c r="A13" s="1">
        <v>8</v>
      </c>
      <c r="B13" s="1">
        <v>34.475999999999999</v>
      </c>
      <c r="C13" s="1">
        <v>4.0609999999999999</v>
      </c>
      <c r="D13" s="1">
        <v>140</v>
      </c>
      <c r="E13" s="1">
        <v>89.6</v>
      </c>
      <c r="G13" s="1">
        <v>8</v>
      </c>
      <c r="H13" s="1">
        <v>30.702000000000002</v>
      </c>
      <c r="I13" s="4">
        <f t="shared" si="0"/>
        <v>4.5599635202918378</v>
      </c>
      <c r="J13" s="1">
        <v>140</v>
      </c>
      <c r="K13" s="1">
        <v>89.6</v>
      </c>
    </row>
    <row r="14" spans="1:11" x14ac:dyDescent="0.3">
      <c r="A14" s="1"/>
      <c r="B14" s="1"/>
      <c r="C14" s="1">
        <f>SUM(C3:C13)</f>
        <v>38.81</v>
      </c>
      <c r="D14" s="1">
        <f>SUM(D3:D13)</f>
        <v>1193</v>
      </c>
      <c r="E14" s="1"/>
      <c r="G14" s="1"/>
      <c r="I14" s="4">
        <f>SUM(I3:I13)</f>
        <v>43.582695177291122</v>
      </c>
      <c r="J14" s="1">
        <f>SUM(J3:J13)</f>
        <v>1193</v>
      </c>
      <c r="K14" s="1"/>
    </row>
    <row r="15" spans="1:11" x14ac:dyDescent="0.3">
      <c r="A15" s="1"/>
      <c r="B15" s="1"/>
      <c r="C15" s="1"/>
      <c r="D15" s="1"/>
      <c r="E15" s="1"/>
      <c r="G15" s="1"/>
      <c r="K15" s="1"/>
    </row>
    <row r="16" spans="1:11" x14ac:dyDescent="0.3">
      <c r="A16" s="1"/>
      <c r="B16" s="1"/>
      <c r="C16" s="1"/>
      <c r="D16" s="1"/>
      <c r="E16" s="1"/>
      <c r="G16" s="1"/>
      <c r="K16" s="1"/>
    </row>
    <row r="17" spans="1:18" x14ac:dyDescent="0.3">
      <c r="A17" s="1" t="s">
        <v>8</v>
      </c>
      <c r="B17" s="1" t="s">
        <v>48</v>
      </c>
      <c r="C17" s="1" t="s">
        <v>49</v>
      </c>
      <c r="D17" s="1" t="s">
        <v>50</v>
      </c>
      <c r="E17" s="1" t="s">
        <v>45</v>
      </c>
      <c r="G17" s="1" t="s">
        <v>8</v>
      </c>
      <c r="H17" s="1" t="s">
        <v>48</v>
      </c>
      <c r="I17" s="1" t="s">
        <v>49</v>
      </c>
      <c r="J17" s="1" t="s">
        <v>50</v>
      </c>
      <c r="K17" s="1" t="s">
        <v>45</v>
      </c>
    </row>
    <row r="18" spans="1:18" x14ac:dyDescent="0.3">
      <c r="A18" s="1" t="s">
        <v>9</v>
      </c>
      <c r="B18" s="1">
        <v>21.106000000000002</v>
      </c>
      <c r="C18" s="1">
        <v>53.396000000000001</v>
      </c>
      <c r="D18" s="1">
        <v>7.3369999999999997</v>
      </c>
      <c r="E18" s="1">
        <v>299</v>
      </c>
      <c r="G18" s="1" t="s">
        <v>9</v>
      </c>
      <c r="H18" s="1">
        <v>18.783000000000001</v>
      </c>
      <c r="I18" s="1">
        <v>65.007999999999996</v>
      </c>
      <c r="J18" s="1">
        <v>6.3070000000000004</v>
      </c>
      <c r="K18" s="1">
        <v>299</v>
      </c>
      <c r="O18" t="s">
        <v>13</v>
      </c>
      <c r="P18" s="2" t="s">
        <v>14</v>
      </c>
      <c r="Q18" t="s">
        <v>42</v>
      </c>
      <c r="R18" t="s">
        <v>41</v>
      </c>
    </row>
    <row r="19" spans="1:18" x14ac:dyDescent="0.3">
      <c r="A19" s="1">
        <v>1</v>
      </c>
      <c r="B19" s="1">
        <v>53.396000000000001</v>
      </c>
      <c r="C19" s="1">
        <v>65.367999999999995</v>
      </c>
      <c r="D19" s="1">
        <v>6.3970000000000002</v>
      </c>
      <c r="E19" s="1">
        <v>383</v>
      </c>
      <c r="G19" s="1">
        <v>1</v>
      </c>
      <c r="H19" s="1">
        <v>65.007999999999996</v>
      </c>
      <c r="I19" s="1">
        <v>80.436999999999998</v>
      </c>
      <c r="J19" s="1">
        <v>5.2210000000000001</v>
      </c>
      <c r="K19" s="1">
        <v>383</v>
      </c>
    </row>
    <row r="20" spans="1:18" x14ac:dyDescent="0.3">
      <c r="A20" s="1">
        <v>2</v>
      </c>
      <c r="B20" s="1">
        <v>20.497</v>
      </c>
      <c r="C20" s="1">
        <v>47.152999999999999</v>
      </c>
      <c r="D20" s="1">
        <v>5.1340000000000003</v>
      </c>
      <c r="E20" s="1">
        <v>186</v>
      </c>
      <c r="G20" s="1">
        <v>2</v>
      </c>
      <c r="H20" s="1">
        <v>18.253</v>
      </c>
      <c r="I20" s="1">
        <v>56.932000000000002</v>
      </c>
      <c r="J20" s="1">
        <v>4.4809999999999999</v>
      </c>
      <c r="K20" s="1">
        <v>186</v>
      </c>
    </row>
    <row r="21" spans="1:18" x14ac:dyDescent="0.3">
      <c r="A21" s="1">
        <v>3</v>
      </c>
      <c r="B21" s="1">
        <v>31.366</v>
      </c>
      <c r="C21" s="1">
        <v>45.768999999999998</v>
      </c>
      <c r="D21" s="1">
        <v>3.2589999999999999</v>
      </c>
      <c r="E21" s="1">
        <v>128</v>
      </c>
      <c r="G21" s="1">
        <v>3</v>
      </c>
      <c r="H21" s="1">
        <v>27.931999999999999</v>
      </c>
      <c r="I21" s="1">
        <v>52.863</v>
      </c>
      <c r="J21" s="1">
        <v>3.0449999999999999</v>
      </c>
      <c r="K21" s="1">
        <v>128</v>
      </c>
    </row>
    <row r="22" spans="1:18" x14ac:dyDescent="0.3">
      <c r="A22" s="1">
        <v>4</v>
      </c>
      <c r="B22" s="1">
        <v>38.634999999999998</v>
      </c>
      <c r="C22" s="1">
        <v>58.557000000000002</v>
      </c>
      <c r="D22" s="1">
        <v>6.9269999999999996</v>
      </c>
      <c r="E22" s="1">
        <v>346</v>
      </c>
      <c r="G22" s="1">
        <v>4</v>
      </c>
      <c r="H22" s="1">
        <v>34.405000000000001</v>
      </c>
      <c r="I22" s="1">
        <v>69.260000000000005</v>
      </c>
      <c r="J22" s="1">
        <v>6.306</v>
      </c>
      <c r="K22" s="1">
        <v>346</v>
      </c>
    </row>
    <row r="23" spans="1:18" x14ac:dyDescent="0.3">
      <c r="A23" s="1">
        <v>5</v>
      </c>
      <c r="B23" s="1">
        <v>31.800999999999998</v>
      </c>
      <c r="C23" s="1">
        <v>53.578000000000003</v>
      </c>
      <c r="D23" s="1">
        <v>5.9580000000000002</v>
      </c>
      <c r="E23" s="1">
        <v>264</v>
      </c>
      <c r="G23" s="1">
        <v>5</v>
      </c>
      <c r="H23" s="1">
        <v>28.318999999999999</v>
      </c>
      <c r="I23" s="1">
        <v>63.847000000000001</v>
      </c>
      <c r="J23" s="1">
        <v>5.3460000000000001</v>
      </c>
      <c r="K23" s="1">
        <v>264</v>
      </c>
    </row>
    <row r="24" spans="1:18" x14ac:dyDescent="0.3">
      <c r="A24" s="1">
        <v>6</v>
      </c>
      <c r="B24" s="1">
        <v>38.960999999999999</v>
      </c>
      <c r="C24" s="1">
        <v>61.036000000000001</v>
      </c>
      <c r="D24" s="1">
        <v>8.1880000000000006</v>
      </c>
      <c r="E24" s="1">
        <v>423</v>
      </c>
      <c r="G24" s="1">
        <v>6</v>
      </c>
      <c r="H24" s="1">
        <v>34.695999999999998</v>
      </c>
      <c r="I24" s="1">
        <v>72.716999999999999</v>
      </c>
      <c r="J24" s="1">
        <v>7.3620000000000001</v>
      </c>
      <c r="K24" s="1">
        <v>423</v>
      </c>
    </row>
    <row r="25" spans="1:18" x14ac:dyDescent="0.3">
      <c r="A25" s="1">
        <v>7</v>
      </c>
      <c r="B25" s="1">
        <v>25.582999999999998</v>
      </c>
      <c r="C25" s="1">
        <v>38.037999999999997</v>
      </c>
      <c r="D25" s="1">
        <v>2.121</v>
      </c>
      <c r="E25" s="1">
        <v>68.599999999999994</v>
      </c>
      <c r="G25" s="1">
        <v>7</v>
      </c>
      <c r="H25" s="1">
        <v>22.782</v>
      </c>
      <c r="I25" s="1">
        <v>43.323</v>
      </c>
      <c r="J25" s="1">
        <v>2.032</v>
      </c>
      <c r="K25" s="1">
        <v>68.599999999999994</v>
      </c>
    </row>
    <row r="26" spans="1:18" x14ac:dyDescent="0.3">
      <c r="A26" s="1">
        <v>8</v>
      </c>
      <c r="B26" s="1">
        <v>36.585999999999999</v>
      </c>
      <c r="C26" s="1">
        <v>45.345999999999997</v>
      </c>
      <c r="D26" s="1">
        <v>2.371</v>
      </c>
      <c r="E26" s="1">
        <v>96.7</v>
      </c>
      <c r="G26" s="1">
        <v>8</v>
      </c>
      <c r="H26" s="1">
        <v>32.58</v>
      </c>
      <c r="I26" s="1">
        <v>50.707999999999998</v>
      </c>
      <c r="J26" s="1">
        <v>2.2749999999999999</v>
      </c>
      <c r="K26" s="1">
        <v>96.7</v>
      </c>
    </row>
    <row r="27" spans="1:18" x14ac:dyDescent="0.3">
      <c r="A27" s="1">
        <v>9</v>
      </c>
      <c r="B27" s="1">
        <v>34.475999999999999</v>
      </c>
      <c r="C27" s="1">
        <v>50.136000000000003</v>
      </c>
      <c r="D27" s="1">
        <v>4.149</v>
      </c>
      <c r="E27" s="1">
        <v>179</v>
      </c>
      <c r="G27" s="1">
        <v>9</v>
      </c>
      <c r="H27" s="1">
        <v>30.702000000000002</v>
      </c>
      <c r="I27" s="1">
        <v>58.238999999999997</v>
      </c>
      <c r="J27" s="1">
        <v>3.8519999999999999</v>
      </c>
      <c r="K27" s="1">
        <v>179</v>
      </c>
    </row>
    <row r="28" spans="1:18" x14ac:dyDescent="0.3">
      <c r="D28">
        <f>SUM(D18:D27)</f>
        <v>51.841000000000008</v>
      </c>
      <c r="E28">
        <f>SUM(E18:E27)</f>
        <v>2373.2999999999997</v>
      </c>
      <c r="H28" s="1"/>
      <c r="J28">
        <f>SUM(J18:J27)</f>
        <v>46.227000000000004</v>
      </c>
      <c r="K28">
        <f>SUM(K18:K27)</f>
        <v>2373.2999999999997</v>
      </c>
    </row>
    <row r="29" spans="1:18" x14ac:dyDescent="0.3">
      <c r="H29" s="1"/>
    </row>
    <row r="30" spans="1:18" x14ac:dyDescent="0.3">
      <c r="D30" t="s">
        <v>10</v>
      </c>
      <c r="J30" t="s">
        <v>38</v>
      </c>
    </row>
    <row r="32" spans="1:18" x14ac:dyDescent="0.3">
      <c r="A32" s="1" t="s">
        <v>0</v>
      </c>
      <c r="B32" s="1" t="s">
        <v>1</v>
      </c>
      <c r="C32" s="1" t="s">
        <v>2</v>
      </c>
      <c r="D32" s="1" t="s">
        <v>3</v>
      </c>
      <c r="E32" s="1"/>
    </row>
    <row r="33" spans="1:14" x14ac:dyDescent="0.3">
      <c r="A33" s="1" t="s">
        <v>4</v>
      </c>
      <c r="B33" s="5">
        <v>28.024999999999999</v>
      </c>
      <c r="C33" s="1">
        <v>2.6120000000000001</v>
      </c>
      <c r="D33" s="1">
        <v>73.2</v>
      </c>
      <c r="E33" s="1">
        <f>C33</f>
        <v>2.6120000000000001</v>
      </c>
    </row>
    <row r="34" spans="1:14" x14ac:dyDescent="0.3">
      <c r="A34" s="1" t="s">
        <v>5</v>
      </c>
      <c r="B34" s="5">
        <v>20.497</v>
      </c>
      <c r="C34" s="1">
        <v>2.903</v>
      </c>
      <c r="D34" s="1">
        <v>59.5</v>
      </c>
      <c r="E34" s="1"/>
    </row>
    <row r="35" spans="1:14" x14ac:dyDescent="0.3">
      <c r="A35" s="1">
        <v>2</v>
      </c>
      <c r="B35" s="5">
        <v>31.366</v>
      </c>
      <c r="C35" s="1">
        <v>3.8580000000000001</v>
      </c>
      <c r="D35" s="1">
        <v>121</v>
      </c>
      <c r="E35" s="1">
        <f>C33+C34+C35</f>
        <v>9.3730000000000011</v>
      </c>
    </row>
    <row r="36" spans="1:14" x14ac:dyDescent="0.3">
      <c r="A36" s="1">
        <v>3</v>
      </c>
      <c r="B36" s="5">
        <v>38.634999999999998</v>
      </c>
      <c r="C36" s="1">
        <v>3.65</v>
      </c>
      <c r="D36" s="1">
        <v>141</v>
      </c>
      <c r="E36" s="1">
        <f>C33+C34+C35+C36</f>
        <v>13.023000000000001</v>
      </c>
    </row>
    <row r="37" spans="1:14" x14ac:dyDescent="0.3">
      <c r="A37" s="1">
        <v>4</v>
      </c>
      <c r="B37" s="5">
        <v>31.800999999999998</v>
      </c>
      <c r="C37" s="1">
        <v>4.843</v>
      </c>
      <c r="D37" s="1">
        <v>154</v>
      </c>
      <c r="E37" s="1">
        <f>SUM(C33:C37)</f>
        <v>17.866</v>
      </c>
    </row>
    <row r="38" spans="1:14" x14ac:dyDescent="0.3">
      <c r="A38" s="1">
        <v>5</v>
      </c>
      <c r="B38" s="5">
        <v>38.960999999999999</v>
      </c>
      <c r="C38" s="1">
        <v>2.823</v>
      </c>
      <c r="D38" s="1">
        <v>110</v>
      </c>
      <c r="E38" s="1">
        <f>SUM(C33:C38)</f>
        <v>20.689</v>
      </c>
    </row>
    <row r="39" spans="1:14" x14ac:dyDescent="0.3">
      <c r="A39" s="1" t="s">
        <v>6</v>
      </c>
      <c r="B39" s="5">
        <v>20.6</v>
      </c>
      <c r="C39" s="1">
        <v>2.4369999999999998</v>
      </c>
      <c r="D39" s="1">
        <v>50.2</v>
      </c>
      <c r="E39" s="1">
        <f>SUM(C33:C39)</f>
        <v>23.126000000000001</v>
      </c>
    </row>
    <row r="40" spans="1:14" x14ac:dyDescent="0.3">
      <c r="A40" s="1" t="s">
        <v>7</v>
      </c>
      <c r="B40" s="5">
        <v>25.582999999999998</v>
      </c>
      <c r="C40" s="1">
        <v>2.5950000000000002</v>
      </c>
      <c r="D40" s="1">
        <v>66.400000000000006</v>
      </c>
      <c r="E40" s="1">
        <f>SUM(C33:C40)</f>
        <v>25.721</v>
      </c>
    </row>
    <row r="41" spans="1:14" x14ac:dyDescent="0.3">
      <c r="A41" s="1">
        <v>7</v>
      </c>
      <c r="B41" s="5">
        <v>36.585999999999999</v>
      </c>
      <c r="C41" s="1">
        <v>5.6310000000000002</v>
      </c>
      <c r="D41" s="1">
        <v>206</v>
      </c>
      <c r="E41" s="1">
        <f>SUM(C33:C41)</f>
        <v>31.352</v>
      </c>
    </row>
    <row r="42" spans="1:14" x14ac:dyDescent="0.3">
      <c r="A42" s="1">
        <v>8</v>
      </c>
      <c r="B42" s="5">
        <v>34.475999999999999</v>
      </c>
      <c r="C42" s="1">
        <v>4.0609999999999999</v>
      </c>
      <c r="D42" s="1">
        <v>140</v>
      </c>
      <c r="E42" s="1"/>
    </row>
    <row r="43" spans="1:14" x14ac:dyDescent="0.3">
      <c r="A43" s="1">
        <v>9</v>
      </c>
      <c r="B43" s="5">
        <v>21.106000000000002</v>
      </c>
      <c r="C43" s="1">
        <v>3.3969999999999998</v>
      </c>
      <c r="D43" s="1">
        <v>71.7</v>
      </c>
      <c r="E43" s="1"/>
    </row>
    <row r="44" spans="1:14" x14ac:dyDescent="0.3">
      <c r="A44" s="1"/>
      <c r="B44" s="1"/>
      <c r="C44" s="1">
        <f>SUM(C33:C42)</f>
        <v>35.412999999999997</v>
      </c>
      <c r="D44" s="1">
        <f>SUM(D33:D42)</f>
        <v>1121.3000000000002</v>
      </c>
      <c r="E44" s="1"/>
    </row>
    <row r="45" spans="1:14" x14ac:dyDescent="0.3">
      <c r="A45" s="1"/>
      <c r="B45" s="1"/>
      <c r="C45" s="1"/>
      <c r="D45" s="1"/>
      <c r="E45" s="1"/>
    </row>
    <row r="46" spans="1:14" x14ac:dyDescent="0.3">
      <c r="A46" s="1"/>
      <c r="B46" s="1"/>
      <c r="C46" s="1"/>
      <c r="D46" s="1"/>
      <c r="E46" s="1"/>
    </row>
    <row r="47" spans="1:14" x14ac:dyDescent="0.3">
      <c r="A47" s="1" t="s">
        <v>8</v>
      </c>
      <c r="B47" s="1" t="s">
        <v>26</v>
      </c>
      <c r="C47" s="1" t="s">
        <v>27</v>
      </c>
      <c r="D47" s="1" t="s">
        <v>28</v>
      </c>
      <c r="E47" s="1" t="s">
        <v>25</v>
      </c>
      <c r="F47" s="1" t="s">
        <v>24</v>
      </c>
      <c r="G47" t="s">
        <v>40</v>
      </c>
      <c r="H47" s="1" t="s">
        <v>24</v>
      </c>
      <c r="I47" s="1" t="s">
        <v>8</v>
      </c>
      <c r="J47" s="1" t="s">
        <v>26</v>
      </c>
      <c r="K47" s="1" t="s">
        <v>27</v>
      </c>
      <c r="L47" s="1" t="s">
        <v>28</v>
      </c>
      <c r="M47" s="1" t="s">
        <v>25</v>
      </c>
      <c r="N47" s="1"/>
    </row>
    <row r="48" spans="1:14" x14ac:dyDescent="0.3">
      <c r="A48" s="1" t="s">
        <v>15</v>
      </c>
      <c r="B48" s="5">
        <v>53.396000000000001</v>
      </c>
      <c r="C48" s="1">
        <v>65.367999999999995</v>
      </c>
      <c r="D48" s="1">
        <v>6.3970000000000002</v>
      </c>
      <c r="E48" s="1">
        <v>383</v>
      </c>
      <c r="F48" s="7">
        <v>6.3970000000000002</v>
      </c>
      <c r="G48" s="4">
        <f>H48-F48</f>
        <v>-1.1760000000000002</v>
      </c>
      <c r="H48" s="3">
        <f>SUM(L48)</f>
        <v>5.2210000000000001</v>
      </c>
      <c r="I48" s="1" t="s">
        <v>15</v>
      </c>
      <c r="J48" s="5">
        <v>65.007999999999996</v>
      </c>
      <c r="K48" s="1">
        <v>80.436999999999998</v>
      </c>
      <c r="L48" s="5">
        <v>5.2210000000000001</v>
      </c>
      <c r="M48" s="1">
        <v>383</v>
      </c>
      <c r="N48" s="1"/>
    </row>
    <row r="49" spans="1:14" x14ac:dyDescent="0.3">
      <c r="A49" s="1" t="s">
        <v>29</v>
      </c>
      <c r="B49" s="5">
        <v>28.024999999999999</v>
      </c>
      <c r="C49" s="1">
        <v>28.024999999999999</v>
      </c>
      <c r="D49" s="1">
        <v>2.6120000000000001</v>
      </c>
      <c r="E49" s="1">
        <v>73.2</v>
      </c>
      <c r="F49" s="8">
        <f>SUM(D49+D48)</f>
        <v>9.0090000000000003</v>
      </c>
      <c r="G49" s="4">
        <f t="shared" ref="G49:G68" si="1">H49-F49</f>
        <v>-0.85483763423625625</v>
      </c>
      <c r="H49" s="3">
        <f>SUM(L48:L49)</f>
        <v>8.1541623657637441</v>
      </c>
      <c r="I49" s="1" t="s">
        <v>29</v>
      </c>
      <c r="J49" s="5">
        <v>24.956</v>
      </c>
      <c r="K49" s="1">
        <v>24.956</v>
      </c>
      <c r="L49" s="6">
        <f t="shared" ref="L49:L65" si="2">M49/K49</f>
        <v>2.9331623657637445</v>
      </c>
      <c r="M49" s="1">
        <v>73.2</v>
      </c>
      <c r="N49" s="1"/>
    </row>
    <row r="50" spans="1:14" x14ac:dyDescent="0.3">
      <c r="A50" s="1" t="s">
        <v>30</v>
      </c>
      <c r="B50" s="5">
        <v>20.497</v>
      </c>
      <c r="C50" s="1">
        <v>20.497</v>
      </c>
      <c r="D50" s="1">
        <v>2.903</v>
      </c>
      <c r="E50" s="1">
        <v>59.5</v>
      </c>
      <c r="F50" s="8">
        <f>SUM(D48:D50)</f>
        <v>11.912000000000001</v>
      </c>
      <c r="G50" s="4">
        <f t="shared" si="1"/>
        <v>-0.49809950899656918</v>
      </c>
      <c r="H50" s="3">
        <f>SUM(L48:L50)</f>
        <v>11.413900491003432</v>
      </c>
      <c r="I50" s="1" t="s">
        <v>30</v>
      </c>
      <c r="J50" s="5">
        <v>18.253</v>
      </c>
      <c r="K50" s="1">
        <v>18.253</v>
      </c>
      <c r="L50" s="6">
        <f t="shared" si="2"/>
        <v>3.2597381252396866</v>
      </c>
      <c r="M50" s="1">
        <v>59.5</v>
      </c>
      <c r="N50" s="1"/>
    </row>
    <row r="51" spans="1:14" x14ac:dyDescent="0.3">
      <c r="A51" s="1" t="s">
        <v>16</v>
      </c>
      <c r="B51" s="5">
        <v>20.497</v>
      </c>
      <c r="C51" s="1">
        <v>47.152999999999999</v>
      </c>
      <c r="D51" s="1">
        <v>5.1340000000000003</v>
      </c>
      <c r="E51" s="1">
        <v>186</v>
      </c>
      <c r="F51" s="8">
        <f>SUM(D48:D51)</f>
        <v>17.045999999999999</v>
      </c>
      <c r="G51" s="4">
        <f t="shared" si="1"/>
        <v>-1.1510995089965679</v>
      </c>
      <c r="H51" s="3">
        <f>SUM(L48:L51)</f>
        <v>15.894900491003431</v>
      </c>
      <c r="I51" s="1" t="s">
        <v>16</v>
      </c>
      <c r="J51" s="5">
        <v>18.253</v>
      </c>
      <c r="K51" s="1">
        <v>56.932000000000002</v>
      </c>
      <c r="L51" s="5">
        <v>4.4809999999999999</v>
      </c>
      <c r="M51" s="1">
        <v>186</v>
      </c>
      <c r="N51" s="1"/>
    </row>
    <row r="52" spans="1:14" x14ac:dyDescent="0.3">
      <c r="A52" s="1" t="s">
        <v>31</v>
      </c>
      <c r="B52" s="5">
        <v>31.366</v>
      </c>
      <c r="C52" s="1">
        <v>31.366</v>
      </c>
      <c r="D52" s="1">
        <v>3.8580000000000001</v>
      </c>
      <c r="E52" s="1">
        <v>121</v>
      </c>
      <c r="F52" s="8">
        <f>SUM(D48:D52)</f>
        <v>20.904</v>
      </c>
      <c r="G52" s="4">
        <f t="shared" si="1"/>
        <v>-0.67715048995031424</v>
      </c>
      <c r="H52" s="3">
        <f>SUM(L48:L52)</f>
        <v>20.226849510049686</v>
      </c>
      <c r="I52" s="1" t="s">
        <v>31</v>
      </c>
      <c r="J52" s="5">
        <v>27.931999999999999</v>
      </c>
      <c r="K52" s="1">
        <v>27.931999999999999</v>
      </c>
      <c r="L52" s="6">
        <f t="shared" si="2"/>
        <v>4.3319490190462551</v>
      </c>
      <c r="M52" s="1">
        <v>121</v>
      </c>
      <c r="N52" s="1"/>
    </row>
    <row r="53" spans="1:14" x14ac:dyDescent="0.3">
      <c r="A53" s="1" t="s">
        <v>17</v>
      </c>
      <c r="B53" s="5">
        <v>31.366</v>
      </c>
      <c r="C53" s="1">
        <v>45.768999999999998</v>
      </c>
      <c r="D53" s="1">
        <v>3.2589999999999999</v>
      </c>
      <c r="E53" s="1">
        <v>128</v>
      </c>
      <c r="F53" s="8">
        <f>SUM(D48:D53)</f>
        <v>24.163</v>
      </c>
      <c r="G53" s="4">
        <f t="shared" si="1"/>
        <v>-0.89115048995031643</v>
      </c>
      <c r="H53" s="3">
        <f>SUM(L48:L53)</f>
        <v>23.271849510049684</v>
      </c>
      <c r="I53" s="1" t="s">
        <v>17</v>
      </c>
      <c r="J53" s="5">
        <v>27.931999999999999</v>
      </c>
      <c r="K53" s="1">
        <v>52.863</v>
      </c>
      <c r="L53" s="5">
        <v>3.0449999999999999</v>
      </c>
      <c r="M53" s="1">
        <v>128</v>
      </c>
      <c r="N53" s="1"/>
    </row>
    <row r="54" spans="1:14" x14ac:dyDescent="0.3">
      <c r="A54" s="1" t="s">
        <v>32</v>
      </c>
      <c r="B54" s="5">
        <v>38.634999999999998</v>
      </c>
      <c r="C54" s="1">
        <v>38.634999999999998</v>
      </c>
      <c r="D54" s="1">
        <v>3.65</v>
      </c>
      <c r="E54" s="1">
        <v>141</v>
      </c>
      <c r="F54" s="8">
        <f>SUM(D48:D54)</f>
        <v>27.812999999999999</v>
      </c>
      <c r="G54" s="4">
        <f t="shared" si="1"/>
        <v>-0.44290895528965635</v>
      </c>
      <c r="H54" s="3">
        <f>SUM(L48:L54)</f>
        <v>27.370091044710342</v>
      </c>
      <c r="I54" s="1" t="s">
        <v>32</v>
      </c>
      <c r="J54" s="5">
        <v>34.405000000000001</v>
      </c>
      <c r="K54" s="1">
        <v>34.405000000000001</v>
      </c>
      <c r="L54" s="6">
        <f t="shared" si="2"/>
        <v>4.0982415346606595</v>
      </c>
      <c r="M54" s="1">
        <v>141</v>
      </c>
      <c r="N54" s="1"/>
    </row>
    <row r="55" spans="1:14" x14ac:dyDescent="0.3">
      <c r="A55" s="1" t="s">
        <v>18</v>
      </c>
      <c r="B55" s="5">
        <v>38.634999999999998</v>
      </c>
      <c r="C55" s="1">
        <v>58.557000000000002</v>
      </c>
      <c r="D55" s="1">
        <v>6.9269999999999996</v>
      </c>
      <c r="E55" s="1">
        <v>346</v>
      </c>
      <c r="F55" s="8">
        <f>SUM(D48:D55)</f>
        <v>34.739999999999995</v>
      </c>
      <c r="G55" s="4">
        <f t="shared" si="1"/>
        <v>-1.063908955289655</v>
      </c>
      <c r="H55" s="3">
        <f>SUM(L48:L55)</f>
        <v>33.67609104471034</v>
      </c>
      <c r="I55" s="1" t="s">
        <v>18</v>
      </c>
      <c r="J55" s="5">
        <v>34.405000000000001</v>
      </c>
      <c r="K55" s="1">
        <v>69.260000000000005</v>
      </c>
      <c r="L55" s="5">
        <v>6.306</v>
      </c>
      <c r="M55" s="1">
        <v>346</v>
      </c>
      <c r="N55" s="1"/>
    </row>
    <row r="56" spans="1:14" x14ac:dyDescent="0.3">
      <c r="A56" s="1" t="s">
        <v>33</v>
      </c>
      <c r="B56" s="5">
        <v>31.800999999999998</v>
      </c>
      <c r="C56" s="1">
        <v>31.800999999999998</v>
      </c>
      <c r="D56" s="1">
        <v>4.843</v>
      </c>
      <c r="E56" s="1">
        <v>154</v>
      </c>
      <c r="F56" s="8">
        <f>SUM(D48:D56)</f>
        <v>39.582999999999998</v>
      </c>
      <c r="G56" s="4">
        <f t="shared" si="1"/>
        <v>-0.46886382657748982</v>
      </c>
      <c r="H56" s="3">
        <f>SUM(L48:L56)</f>
        <v>39.114136173422509</v>
      </c>
      <c r="I56" s="1" t="s">
        <v>33</v>
      </c>
      <c r="J56" s="5">
        <v>28.318999999999999</v>
      </c>
      <c r="K56" s="1">
        <v>28.318999999999999</v>
      </c>
      <c r="L56" s="6">
        <f t="shared" si="2"/>
        <v>5.4380451287121723</v>
      </c>
      <c r="M56" s="1">
        <v>154</v>
      </c>
      <c r="N56" s="1"/>
    </row>
    <row r="57" spans="1:14" x14ac:dyDescent="0.3">
      <c r="A57" s="1" t="s">
        <v>19</v>
      </c>
      <c r="B57" s="5">
        <v>31.800999999999998</v>
      </c>
      <c r="C57" s="1">
        <v>53.578000000000003</v>
      </c>
      <c r="D57" s="1">
        <v>5.9580000000000002</v>
      </c>
      <c r="E57" s="1">
        <v>264</v>
      </c>
      <c r="F57" s="8">
        <f>SUM(D48:D57)</f>
        <v>45.540999999999997</v>
      </c>
      <c r="G57" s="4">
        <f t="shared" si="1"/>
        <v>-1.0808638265774846</v>
      </c>
      <c r="H57" s="3">
        <f>SUM(L48:L57)</f>
        <v>44.460136173422512</v>
      </c>
      <c r="I57" s="1" t="s">
        <v>19</v>
      </c>
      <c r="J57" s="5">
        <v>28.318999999999999</v>
      </c>
      <c r="K57" s="1">
        <v>63.847000000000001</v>
      </c>
      <c r="L57" s="5">
        <v>5.3460000000000001</v>
      </c>
      <c r="M57" s="1">
        <v>264</v>
      </c>
      <c r="N57" s="1"/>
    </row>
    <row r="58" spans="1:14" x14ac:dyDescent="0.3">
      <c r="A58" s="1" t="s">
        <v>34</v>
      </c>
      <c r="B58" s="5">
        <v>38.960999999999999</v>
      </c>
      <c r="C58" s="1">
        <v>38.960999999999999</v>
      </c>
      <c r="D58" s="1">
        <v>2.823</v>
      </c>
      <c r="E58" s="1">
        <v>110</v>
      </c>
      <c r="F58" s="8">
        <f>SUM(D48:D58)</f>
        <v>48.363999999999997</v>
      </c>
      <c r="G58" s="4">
        <f t="shared" si="1"/>
        <v>-0.73346954481589677</v>
      </c>
      <c r="H58" s="3">
        <f>SUM(L48:L58)</f>
        <v>47.6305304551841</v>
      </c>
      <c r="I58" s="1" t="s">
        <v>34</v>
      </c>
      <c r="J58" s="5">
        <v>34.695999999999998</v>
      </c>
      <c r="K58" s="1">
        <v>34.695999999999998</v>
      </c>
      <c r="L58" s="6">
        <f t="shared" si="2"/>
        <v>3.1703942817615864</v>
      </c>
      <c r="M58" s="1">
        <v>110</v>
      </c>
      <c r="N58" s="1"/>
    </row>
    <row r="59" spans="1:14" x14ac:dyDescent="0.3">
      <c r="A59" s="1" t="s">
        <v>20</v>
      </c>
      <c r="B59" s="5">
        <v>38.960999999999999</v>
      </c>
      <c r="C59" s="1">
        <v>61.036000000000001</v>
      </c>
      <c r="D59" s="1">
        <v>8.1880000000000006</v>
      </c>
      <c r="E59" s="1">
        <v>423</v>
      </c>
      <c r="F59" s="8">
        <f>SUM(D48:D59)</f>
        <v>56.552</v>
      </c>
      <c r="G59" s="4">
        <f t="shared" si="1"/>
        <v>-1.5594695448158973</v>
      </c>
      <c r="H59" s="3">
        <f>SUM(L48:L59)</f>
        <v>54.992530455184102</v>
      </c>
      <c r="I59" s="1" t="s">
        <v>20</v>
      </c>
      <c r="J59" s="5">
        <v>34.695999999999998</v>
      </c>
      <c r="K59" s="1">
        <v>72.716999999999999</v>
      </c>
      <c r="L59" s="5">
        <v>7.3620000000000001</v>
      </c>
      <c r="M59" s="1">
        <v>423</v>
      </c>
      <c r="N59" s="1"/>
    </row>
    <row r="60" spans="1:14" x14ac:dyDescent="0.3">
      <c r="A60" s="1" t="s">
        <v>6</v>
      </c>
      <c r="B60" s="5">
        <v>20.6</v>
      </c>
      <c r="C60" s="1">
        <v>20.6</v>
      </c>
      <c r="D60" s="1">
        <v>2.4369999999999998</v>
      </c>
      <c r="E60" s="1">
        <v>50.2</v>
      </c>
      <c r="F60" s="8">
        <f>SUM(D48:D60)</f>
        <v>58.988999999999997</v>
      </c>
      <c r="G60" s="4">
        <f t="shared" si="1"/>
        <v>-1.2600290978276121</v>
      </c>
      <c r="H60" s="3">
        <f>SUM(L48:L60)</f>
        <v>57.728970902172385</v>
      </c>
      <c r="I60" s="1" t="s">
        <v>6</v>
      </c>
      <c r="J60" s="5">
        <v>18.344999999999999</v>
      </c>
      <c r="K60" s="1">
        <v>18.344999999999999</v>
      </c>
      <c r="L60" s="6">
        <f t="shared" si="2"/>
        <v>2.7364404469882806</v>
      </c>
      <c r="M60" s="1">
        <v>50.2</v>
      </c>
      <c r="N60" s="1"/>
    </row>
    <row r="61" spans="1:14" x14ac:dyDescent="0.3">
      <c r="A61" s="1" t="s">
        <v>7</v>
      </c>
      <c r="B61" s="5">
        <v>25.582999999999998</v>
      </c>
      <c r="C61" s="1">
        <v>25.582999999999998</v>
      </c>
      <c r="D61" s="1">
        <v>2.5950000000000002</v>
      </c>
      <c r="E61" s="1">
        <v>66.400000000000006</v>
      </c>
      <c r="F61" s="8">
        <f>SUM(D48:D61)</f>
        <v>61.583999999999996</v>
      </c>
      <c r="G61" s="4">
        <f t="shared" si="1"/>
        <v>-0.94044741053062353</v>
      </c>
      <c r="H61" s="3">
        <f>SUM(L48:L61)</f>
        <v>60.643552589469373</v>
      </c>
      <c r="I61" s="1" t="s">
        <v>7</v>
      </c>
      <c r="J61" s="5">
        <v>22.782</v>
      </c>
      <c r="K61" s="1">
        <v>22.782</v>
      </c>
      <c r="L61" s="6">
        <f t="shared" si="2"/>
        <v>2.9145816872969892</v>
      </c>
      <c r="M61" s="1">
        <v>66.400000000000006</v>
      </c>
      <c r="N61" s="1"/>
    </row>
    <row r="62" spans="1:14" x14ac:dyDescent="0.3">
      <c r="A62" s="1" t="s">
        <v>21</v>
      </c>
      <c r="B62" s="5">
        <v>25.582999999999998</v>
      </c>
      <c r="C62" s="1">
        <v>38.037999999999997</v>
      </c>
      <c r="D62" s="1">
        <v>2.121</v>
      </c>
      <c r="E62" s="1">
        <v>68.599999999999994</v>
      </c>
      <c r="F62" s="8">
        <f>SUM(D48:D62)</f>
        <v>63.704999999999998</v>
      </c>
      <c r="G62" s="4">
        <f t="shared" si="1"/>
        <v>-1.0294474105306222</v>
      </c>
      <c r="H62" s="3">
        <f>SUM(L48:L62)</f>
        <v>62.675552589469376</v>
      </c>
      <c r="I62" s="1" t="s">
        <v>21</v>
      </c>
      <c r="J62" s="5">
        <v>22.782</v>
      </c>
      <c r="K62" s="1">
        <v>43.323</v>
      </c>
      <c r="L62" s="5">
        <v>2.032</v>
      </c>
      <c r="M62" s="1">
        <v>68.599999999999994</v>
      </c>
      <c r="N62" s="1"/>
    </row>
    <row r="63" spans="1:14" x14ac:dyDescent="0.3">
      <c r="A63" s="1" t="s">
        <v>35</v>
      </c>
      <c r="B63" s="5">
        <v>36.585999999999999</v>
      </c>
      <c r="C63" s="1">
        <v>36.585999999999999</v>
      </c>
      <c r="D63" s="1">
        <v>5.6310000000000002</v>
      </c>
      <c r="E63" s="1">
        <v>206</v>
      </c>
      <c r="F63" s="8">
        <f>SUM(D48:D63)</f>
        <v>69.335999999999999</v>
      </c>
      <c r="G63" s="4">
        <f t="shared" si="1"/>
        <v>-0.33754992741214096</v>
      </c>
      <c r="H63" s="3">
        <f>SUM(L48:L63)</f>
        <v>68.998450072587858</v>
      </c>
      <c r="I63" s="1" t="s">
        <v>35</v>
      </c>
      <c r="J63" s="5">
        <v>32.58</v>
      </c>
      <c r="K63" s="1">
        <v>32.58</v>
      </c>
      <c r="L63" s="6">
        <f t="shared" si="2"/>
        <v>6.3228974831184779</v>
      </c>
      <c r="M63" s="1">
        <v>206</v>
      </c>
      <c r="N63" s="1"/>
    </row>
    <row r="64" spans="1:14" x14ac:dyDescent="0.3">
      <c r="A64" s="1" t="s">
        <v>22</v>
      </c>
      <c r="B64" s="5">
        <v>36.585999999999999</v>
      </c>
      <c r="C64" s="1">
        <v>45.345999999999997</v>
      </c>
      <c r="D64" s="1">
        <v>2.371</v>
      </c>
      <c r="E64" s="1">
        <v>96.7</v>
      </c>
      <c r="F64" s="8">
        <f>SUM(D48:D64)</f>
        <v>71.706999999999994</v>
      </c>
      <c r="G64" s="4">
        <f t="shared" si="1"/>
        <v>-0.43354992741213039</v>
      </c>
      <c r="H64" s="3">
        <f>SUM(L48:L64)</f>
        <v>71.273450072587863</v>
      </c>
      <c r="I64" s="1" t="s">
        <v>22</v>
      </c>
      <c r="J64" s="5">
        <v>32.58</v>
      </c>
      <c r="K64" s="1">
        <v>50.707999999999998</v>
      </c>
      <c r="L64" s="5">
        <v>2.2749999999999999</v>
      </c>
      <c r="M64" s="1">
        <v>96.7</v>
      </c>
      <c r="N64" s="1"/>
    </row>
    <row r="65" spans="1:14" x14ac:dyDescent="0.3">
      <c r="A65" s="1" t="s">
        <v>36</v>
      </c>
      <c r="B65" s="5">
        <v>34.475999999999999</v>
      </c>
      <c r="C65" s="1">
        <v>34.475999999999999</v>
      </c>
      <c r="D65" s="1">
        <v>4.0609999999999999</v>
      </c>
      <c r="E65" s="1">
        <v>140</v>
      </c>
      <c r="F65">
        <f>SUM(D48:D65)</f>
        <v>75.768000000000001</v>
      </c>
      <c r="G65" s="9">
        <f t="shared" si="1"/>
        <v>6.5413592879707494E-2</v>
      </c>
      <c r="H65">
        <f>SUM(L48:L65)</f>
        <v>75.833413592879708</v>
      </c>
      <c r="I65" s="1" t="s">
        <v>36</v>
      </c>
      <c r="J65" s="5">
        <v>30.702000000000002</v>
      </c>
      <c r="K65" s="1">
        <v>30.702000000000002</v>
      </c>
      <c r="L65" s="6">
        <f t="shared" si="2"/>
        <v>4.5599635202918378</v>
      </c>
      <c r="M65" s="1">
        <v>140</v>
      </c>
      <c r="N65" s="1"/>
    </row>
    <row r="66" spans="1:14" x14ac:dyDescent="0.3">
      <c r="A66" s="1" t="s">
        <v>23</v>
      </c>
      <c r="B66" s="5">
        <v>34.475999999999999</v>
      </c>
      <c r="C66" s="1">
        <v>50.136000000000003</v>
      </c>
      <c r="D66" s="1">
        <v>4.149</v>
      </c>
      <c r="E66" s="1">
        <v>179</v>
      </c>
      <c r="F66" s="8">
        <f>SUM(D48:D66)</f>
        <v>79.917000000000002</v>
      </c>
      <c r="G66" s="4">
        <f t="shared" si="1"/>
        <v>-0.23158640712028955</v>
      </c>
      <c r="H66" s="3">
        <f>SUM(L48:L66)</f>
        <v>79.685413592879712</v>
      </c>
      <c r="I66" s="1" t="s">
        <v>23</v>
      </c>
      <c r="J66" s="5">
        <v>30.702000000000002</v>
      </c>
      <c r="K66" s="1">
        <v>58.238999999999997</v>
      </c>
      <c r="L66" s="5">
        <v>3.8519999999999999</v>
      </c>
      <c r="M66" s="1">
        <v>179</v>
      </c>
      <c r="N66" s="1"/>
    </row>
    <row r="67" spans="1:14" x14ac:dyDescent="0.3">
      <c r="A67" s="1" t="s">
        <v>37</v>
      </c>
      <c r="B67" s="5">
        <v>21.106000000000002</v>
      </c>
      <c r="C67" s="1">
        <v>21.106000000000002</v>
      </c>
      <c r="D67" s="1">
        <v>3.3969999999999998</v>
      </c>
      <c r="E67" s="1">
        <v>71.7</v>
      </c>
      <c r="F67" s="8">
        <f>SUM(D48:D67)</f>
        <v>83.314000000000007</v>
      </c>
      <c r="G67" s="9">
        <f t="shared" si="1"/>
        <v>0.18869517729113738</v>
      </c>
      <c r="H67" s="3">
        <f>SUM(L48:L67)</f>
        <v>83.502695177291145</v>
      </c>
      <c r="I67" s="1" t="s">
        <v>37</v>
      </c>
      <c r="J67" s="5">
        <v>18.783000000000001</v>
      </c>
      <c r="K67" s="1">
        <v>18.783000000000001</v>
      </c>
      <c r="L67" s="6">
        <f>M67/K67</f>
        <v>3.8172815844114356</v>
      </c>
      <c r="M67" s="1">
        <v>71.7</v>
      </c>
      <c r="N67" s="1"/>
    </row>
    <row r="68" spans="1:14" x14ac:dyDescent="0.3">
      <c r="A68" s="1" t="s">
        <v>9</v>
      </c>
      <c r="B68" s="5">
        <v>21.106000000000002</v>
      </c>
      <c r="C68" s="1">
        <v>53.396000000000001</v>
      </c>
      <c r="D68" s="1">
        <v>7.3369999999999997</v>
      </c>
      <c r="E68" s="1">
        <v>299</v>
      </c>
      <c r="F68" s="8">
        <f>SUM(D48:D68)</f>
        <v>90.65100000000001</v>
      </c>
      <c r="G68" s="4">
        <f t="shared" si="1"/>
        <v>-0.84130482270886375</v>
      </c>
      <c r="H68" s="3">
        <f>SUM(L48:L68)</f>
        <v>89.809695177291147</v>
      </c>
      <c r="I68" s="1" t="s">
        <v>9</v>
      </c>
      <c r="J68" s="5">
        <v>18.783000000000001</v>
      </c>
      <c r="K68" s="1">
        <v>65.007999999999996</v>
      </c>
      <c r="L68" s="5">
        <v>6.3070000000000004</v>
      </c>
      <c r="M68" s="1">
        <v>299</v>
      </c>
      <c r="N68" s="1"/>
    </row>
    <row r="69" spans="1:14" x14ac:dyDescent="0.3">
      <c r="I69" s="1"/>
      <c r="J69" s="1"/>
      <c r="K69" s="1"/>
      <c r="L69" s="1"/>
      <c r="M69" s="1"/>
      <c r="N69" s="1"/>
    </row>
    <row r="70" spans="1:14" x14ac:dyDescent="0.3">
      <c r="I70" s="1"/>
      <c r="L70" t="s">
        <v>39</v>
      </c>
      <c r="N70" s="1"/>
    </row>
    <row r="71" spans="1:14" x14ac:dyDescent="0.3">
      <c r="D71" t="s">
        <v>10</v>
      </c>
      <c r="I71" s="1"/>
      <c r="J71" s="1"/>
      <c r="K71" s="1"/>
      <c r="L71" s="1"/>
      <c r="M71" s="1"/>
      <c r="N71" s="1"/>
    </row>
    <row r="72" spans="1:14" x14ac:dyDescent="0.3">
      <c r="I72" s="1"/>
      <c r="J72" s="1"/>
      <c r="K72" s="1"/>
      <c r="L72" s="1"/>
      <c r="M72" s="1"/>
      <c r="N72" s="1"/>
    </row>
    <row r="73" spans="1:14" x14ac:dyDescent="0.3">
      <c r="I73" s="1"/>
      <c r="J73" s="1"/>
      <c r="K73" s="1"/>
      <c r="L73" s="1"/>
      <c r="M73" s="1"/>
    </row>
    <row r="74" spans="1:14" x14ac:dyDescent="0.3">
      <c r="I74" s="1"/>
      <c r="J74" s="1"/>
      <c r="K74" s="1"/>
      <c r="L74" s="1"/>
      <c r="M74" s="1"/>
    </row>
    <row r="75" spans="1:14" x14ac:dyDescent="0.3">
      <c r="I75" s="1"/>
      <c r="J75" s="1"/>
      <c r="K75" s="1"/>
      <c r="L75" s="1"/>
      <c r="M75" s="1"/>
    </row>
    <row r="76" spans="1:14" x14ac:dyDescent="0.3">
      <c r="I76" s="1"/>
      <c r="J76" s="1"/>
      <c r="K76" s="1"/>
      <c r="L76" s="1"/>
      <c r="M76" s="1"/>
    </row>
    <row r="77" spans="1:14" x14ac:dyDescent="0.3">
      <c r="I77" s="1"/>
      <c r="J77" s="1"/>
      <c r="K77" s="1"/>
      <c r="L77" s="1"/>
      <c r="M77" s="1"/>
    </row>
    <row r="78" spans="1:14" x14ac:dyDescent="0.3">
      <c r="I78" s="1"/>
      <c r="J78" s="1"/>
      <c r="K78" s="1"/>
      <c r="L78" s="1"/>
      <c r="M78" s="1"/>
    </row>
    <row r="79" spans="1:14" x14ac:dyDescent="0.3">
      <c r="I79" s="1"/>
      <c r="J79" s="1"/>
      <c r="K79" s="1"/>
      <c r="L79" s="1"/>
      <c r="M79" s="1"/>
    </row>
    <row r="80" spans="1:14" x14ac:dyDescent="0.3">
      <c r="I80" s="1"/>
      <c r="J80" s="1"/>
      <c r="K80" s="1"/>
      <c r="L80" s="1"/>
      <c r="M80" s="1"/>
    </row>
    <row r="81" spans="1:14" x14ac:dyDescent="0.3">
      <c r="I81" s="1"/>
      <c r="J81" s="1"/>
      <c r="L81" s="1"/>
      <c r="M81" s="1"/>
    </row>
    <row r="82" spans="1:14" x14ac:dyDescent="0.3">
      <c r="I82" s="1"/>
      <c r="J82" s="1"/>
      <c r="K82" s="1"/>
      <c r="M82" s="1"/>
    </row>
    <row r="83" spans="1:14" x14ac:dyDescent="0.3">
      <c r="I83" s="1"/>
      <c r="J83" s="1"/>
      <c r="K83" s="1"/>
      <c r="M83" s="1"/>
    </row>
    <row r="84" spans="1:14" x14ac:dyDescent="0.3">
      <c r="I84" s="1"/>
      <c r="J84" s="1"/>
      <c r="K84" s="1"/>
      <c r="M84" s="1"/>
    </row>
    <row r="85" spans="1:14" x14ac:dyDescent="0.3">
      <c r="I85" s="1"/>
      <c r="J85" s="1"/>
      <c r="K85" s="1"/>
      <c r="M85" s="1"/>
    </row>
    <row r="86" spans="1:14" x14ac:dyDescent="0.3">
      <c r="I86" s="1"/>
      <c r="J86" s="1"/>
      <c r="K86" s="1"/>
      <c r="M86" s="1"/>
    </row>
    <row r="87" spans="1:14" x14ac:dyDescent="0.3">
      <c r="I87" s="1"/>
      <c r="J87" s="1"/>
      <c r="K87" s="1"/>
      <c r="M87" s="1"/>
    </row>
    <row r="88" spans="1:14" x14ac:dyDescent="0.3">
      <c r="A88" t="s">
        <v>11</v>
      </c>
      <c r="H88" t="s">
        <v>53</v>
      </c>
      <c r="I88" s="1"/>
      <c r="J88" s="1"/>
      <c r="K88" s="1"/>
      <c r="M88" s="1"/>
    </row>
    <row r="89" spans="1:14" x14ac:dyDescent="0.3">
      <c r="A89" s="1"/>
      <c r="B89" s="1"/>
      <c r="C89" s="1"/>
      <c r="D89" s="1"/>
      <c r="E89" s="1"/>
    </row>
    <row r="90" spans="1:14" x14ac:dyDescent="0.3">
      <c r="A90" s="1" t="s">
        <v>8</v>
      </c>
      <c r="B90" s="1" t="s">
        <v>51</v>
      </c>
      <c r="C90" s="1" t="s">
        <v>52</v>
      </c>
      <c r="D90" s="1" t="s">
        <v>28</v>
      </c>
      <c r="E90" s="1" t="s">
        <v>25</v>
      </c>
      <c r="F90" s="1" t="s">
        <v>24</v>
      </c>
      <c r="G90" t="s">
        <v>40</v>
      </c>
      <c r="H90" s="1" t="s">
        <v>24</v>
      </c>
      <c r="I90" s="1" t="s">
        <v>8</v>
      </c>
      <c r="J90" s="1" t="s">
        <v>51</v>
      </c>
      <c r="K90" s="1" t="s">
        <v>52</v>
      </c>
      <c r="L90" s="1" t="s">
        <v>28</v>
      </c>
      <c r="M90" s="1" t="s">
        <v>25</v>
      </c>
      <c r="N90" s="1"/>
    </row>
    <row r="91" spans="1:14" x14ac:dyDescent="0.3">
      <c r="A91" s="1" t="s">
        <v>15</v>
      </c>
      <c r="B91" s="5">
        <f t="shared" ref="B91:C111" si="3">B48*2.23694</f>
        <v>119.44364824000002</v>
      </c>
      <c r="C91" s="5">
        <f>C48*2.23694</f>
        <v>146.22429392000001</v>
      </c>
      <c r="D91" s="1">
        <v>6.3970000000000002</v>
      </c>
      <c r="E91" s="1">
        <v>383</v>
      </c>
      <c r="F91" s="7">
        <v>6.3970000000000002</v>
      </c>
      <c r="G91" s="4">
        <f>H91-F91</f>
        <v>-1.1760000000000002</v>
      </c>
      <c r="H91" s="3">
        <f>SUM(L91)</f>
        <v>5.2210000000000001</v>
      </c>
      <c r="I91" s="1" t="s">
        <v>15</v>
      </c>
      <c r="J91" s="5">
        <f>J48*2.23694</f>
        <v>145.41899552000001</v>
      </c>
      <c r="K91" s="5">
        <f>K48*2.23694</f>
        <v>179.93274278000001</v>
      </c>
      <c r="L91" s="5">
        <v>5.2210000000000001</v>
      </c>
      <c r="M91" s="1">
        <v>383</v>
      </c>
      <c r="N91" s="1"/>
    </row>
    <row r="92" spans="1:14" x14ac:dyDescent="0.3">
      <c r="A92" s="1" t="s">
        <v>29</v>
      </c>
      <c r="B92" s="5">
        <f t="shared" si="3"/>
        <v>62.690243500000001</v>
      </c>
      <c r="C92" s="5">
        <f t="shared" si="3"/>
        <v>62.690243500000001</v>
      </c>
      <c r="D92" s="1">
        <v>2.6120000000000001</v>
      </c>
      <c r="E92" s="1">
        <v>73.2</v>
      </c>
      <c r="F92" s="8">
        <f>SUM(D92+D91)</f>
        <v>9.0090000000000003</v>
      </c>
      <c r="G92" s="4">
        <f t="shared" ref="G92:G111" si="4">H92-F92</f>
        <v>-0.85500000000000043</v>
      </c>
      <c r="H92" s="10">
        <f>SUM(L91:L92)</f>
        <v>8.1539999999999999</v>
      </c>
      <c r="I92" s="1" t="s">
        <v>29</v>
      </c>
      <c r="J92" s="5">
        <f t="shared" ref="J92:K111" si="5">J49*2.23694</f>
        <v>55.825074640000004</v>
      </c>
      <c r="K92" s="5">
        <f t="shared" si="5"/>
        <v>55.825074640000004</v>
      </c>
      <c r="L92" s="6">
        <v>2.9329999999999998</v>
      </c>
      <c r="M92" s="1">
        <v>73.2</v>
      </c>
      <c r="N92" s="1"/>
    </row>
    <row r="93" spans="1:14" x14ac:dyDescent="0.3">
      <c r="A93" s="1" t="s">
        <v>30</v>
      </c>
      <c r="B93" s="5">
        <f t="shared" si="3"/>
        <v>45.850559180000005</v>
      </c>
      <c r="C93" s="5">
        <f t="shared" si="3"/>
        <v>45.850559180000005</v>
      </c>
      <c r="D93" s="1">
        <v>2.903</v>
      </c>
      <c r="E93" s="1">
        <v>59.5</v>
      </c>
      <c r="F93" s="8">
        <f>SUM(D91:D93)</f>
        <v>11.912000000000001</v>
      </c>
      <c r="G93" s="4">
        <f t="shared" si="4"/>
        <v>-0.49800000000000111</v>
      </c>
      <c r="H93" s="10">
        <f>SUM(L91:L93)</f>
        <v>11.414</v>
      </c>
      <c r="I93" s="1" t="s">
        <v>30</v>
      </c>
      <c r="J93" s="5">
        <f t="shared" si="5"/>
        <v>40.83086582</v>
      </c>
      <c r="K93" s="5">
        <f t="shared" si="5"/>
        <v>40.83086582</v>
      </c>
      <c r="L93" s="6">
        <v>3.26</v>
      </c>
      <c r="M93" s="1">
        <v>59.5</v>
      </c>
      <c r="N93" s="1"/>
    </row>
    <row r="94" spans="1:14" x14ac:dyDescent="0.3">
      <c r="A94" s="1" t="s">
        <v>16</v>
      </c>
      <c r="B94" s="5">
        <f t="shared" si="3"/>
        <v>45.850559180000005</v>
      </c>
      <c r="C94" s="5">
        <f t="shared" si="3"/>
        <v>105.47843182</v>
      </c>
      <c r="D94" s="1">
        <v>5.1340000000000003</v>
      </c>
      <c r="E94" s="1">
        <v>186</v>
      </c>
      <c r="F94" s="8">
        <f>SUM(D91:D94)</f>
        <v>17.045999999999999</v>
      </c>
      <c r="G94" s="4">
        <f t="shared" si="4"/>
        <v>-1.1509999999999998</v>
      </c>
      <c r="H94" s="10">
        <f>SUM(L91:L94)</f>
        <v>15.895</v>
      </c>
      <c r="I94" s="1" t="s">
        <v>16</v>
      </c>
      <c r="J94" s="5">
        <f t="shared" si="5"/>
        <v>40.83086582</v>
      </c>
      <c r="K94" s="5">
        <f t="shared" si="5"/>
        <v>127.35346808000001</v>
      </c>
      <c r="L94" s="5">
        <v>4.4809999999999999</v>
      </c>
      <c r="M94" s="1">
        <v>186</v>
      </c>
      <c r="N94" s="1"/>
    </row>
    <row r="95" spans="1:14" x14ac:dyDescent="0.3">
      <c r="A95" s="1" t="s">
        <v>31</v>
      </c>
      <c r="B95" s="5">
        <f t="shared" si="3"/>
        <v>70.163860040000003</v>
      </c>
      <c r="C95" s="5">
        <f t="shared" si="3"/>
        <v>70.163860040000003</v>
      </c>
      <c r="D95" s="1">
        <v>3.8580000000000001</v>
      </c>
      <c r="E95" s="1">
        <v>121</v>
      </c>
      <c r="F95" s="8">
        <f>SUM(D91:D95)</f>
        <v>20.904</v>
      </c>
      <c r="G95" s="4">
        <f t="shared" si="4"/>
        <v>-0.6769999999999996</v>
      </c>
      <c r="H95" s="10">
        <f>SUM(L91:L95)</f>
        <v>20.227</v>
      </c>
      <c r="I95" s="1" t="s">
        <v>31</v>
      </c>
      <c r="J95" s="5">
        <f t="shared" si="5"/>
        <v>62.482208079999999</v>
      </c>
      <c r="K95" s="5">
        <f t="shared" si="5"/>
        <v>62.482208079999999</v>
      </c>
      <c r="L95" s="6">
        <v>4.3319999999999999</v>
      </c>
      <c r="M95" s="1">
        <v>121</v>
      </c>
      <c r="N95" s="1"/>
    </row>
    <row r="96" spans="1:14" x14ac:dyDescent="0.3">
      <c r="A96" s="1" t="s">
        <v>17</v>
      </c>
      <c r="B96" s="5">
        <f t="shared" si="3"/>
        <v>70.163860040000003</v>
      </c>
      <c r="C96" s="5">
        <f t="shared" si="3"/>
        <v>102.38250686000001</v>
      </c>
      <c r="D96" s="1">
        <v>3.2589999999999999</v>
      </c>
      <c r="E96" s="1">
        <v>128</v>
      </c>
      <c r="F96" s="8">
        <f>SUM(D91:D96)</f>
        <v>24.163</v>
      </c>
      <c r="G96" s="4">
        <f t="shared" si="4"/>
        <v>-0.89100000000000179</v>
      </c>
      <c r="H96" s="10">
        <f>SUM(L91:L96)</f>
        <v>23.271999999999998</v>
      </c>
      <c r="I96" s="1" t="s">
        <v>17</v>
      </c>
      <c r="J96" s="5">
        <f t="shared" si="5"/>
        <v>62.482208079999999</v>
      </c>
      <c r="K96" s="5">
        <f t="shared" si="5"/>
        <v>118.25135922000001</v>
      </c>
      <c r="L96" s="5">
        <v>3.0449999999999999</v>
      </c>
      <c r="M96" s="1">
        <v>128</v>
      </c>
      <c r="N96" s="1"/>
    </row>
    <row r="97" spans="1:14" x14ac:dyDescent="0.3">
      <c r="A97" s="1" t="s">
        <v>32</v>
      </c>
      <c r="B97" s="5">
        <f t="shared" si="3"/>
        <v>86.424176900000006</v>
      </c>
      <c r="C97" s="5">
        <f t="shared" si="3"/>
        <v>86.424176900000006</v>
      </c>
      <c r="D97" s="1">
        <v>3.65</v>
      </c>
      <c r="E97" s="1">
        <v>141</v>
      </c>
      <c r="F97" s="8">
        <f>SUM(D91:D97)</f>
        <v>27.812999999999999</v>
      </c>
      <c r="G97" s="4">
        <f t="shared" si="4"/>
        <v>-0.44300000000000139</v>
      </c>
      <c r="H97" s="10">
        <f>SUM(L91:L97)</f>
        <v>27.369999999999997</v>
      </c>
      <c r="I97" s="1" t="s">
        <v>32</v>
      </c>
      <c r="J97" s="5">
        <f t="shared" si="5"/>
        <v>76.961920700000007</v>
      </c>
      <c r="K97" s="5">
        <f t="shared" si="5"/>
        <v>76.961920700000007</v>
      </c>
      <c r="L97" s="6">
        <v>4.0979999999999999</v>
      </c>
      <c r="M97" s="1">
        <v>141</v>
      </c>
      <c r="N97" s="1"/>
    </row>
    <row r="98" spans="1:14" x14ac:dyDescent="0.3">
      <c r="A98" s="1" t="s">
        <v>18</v>
      </c>
      <c r="B98" s="5">
        <f t="shared" si="3"/>
        <v>86.424176900000006</v>
      </c>
      <c r="C98" s="5">
        <f t="shared" si="3"/>
        <v>130.98849558000001</v>
      </c>
      <c r="D98" s="1">
        <v>6.9269999999999996</v>
      </c>
      <c r="E98" s="1">
        <v>346</v>
      </c>
      <c r="F98" s="8">
        <f>SUM(D91:D98)</f>
        <v>34.739999999999995</v>
      </c>
      <c r="G98" s="4">
        <f t="shared" si="4"/>
        <v>-1.0640000000000001</v>
      </c>
      <c r="H98" s="10">
        <f>SUM(L91:L98)</f>
        <v>33.675999999999995</v>
      </c>
      <c r="I98" s="1" t="s">
        <v>18</v>
      </c>
      <c r="J98" s="5">
        <f t="shared" si="5"/>
        <v>76.961920700000007</v>
      </c>
      <c r="K98" s="5">
        <f t="shared" si="5"/>
        <v>154.93046440000003</v>
      </c>
      <c r="L98" s="5">
        <v>6.306</v>
      </c>
      <c r="M98" s="1">
        <v>346</v>
      </c>
      <c r="N98" s="1"/>
    </row>
    <row r="99" spans="1:14" x14ac:dyDescent="0.3">
      <c r="A99" s="1" t="s">
        <v>33</v>
      </c>
      <c r="B99" s="5">
        <f t="shared" si="3"/>
        <v>71.136928940000004</v>
      </c>
      <c r="C99" s="5">
        <f t="shared" si="3"/>
        <v>71.136928940000004</v>
      </c>
      <c r="D99" s="1">
        <v>4.843</v>
      </c>
      <c r="E99" s="1">
        <v>154</v>
      </c>
      <c r="F99" s="8">
        <f>SUM(D91:D99)</f>
        <v>39.582999999999998</v>
      </c>
      <c r="G99" s="4">
        <f t="shared" si="4"/>
        <v>-0.46900000000000119</v>
      </c>
      <c r="H99" s="10">
        <f>SUM(L91:L99)</f>
        <v>39.113999999999997</v>
      </c>
      <c r="I99" s="1" t="s">
        <v>33</v>
      </c>
      <c r="J99" s="5">
        <f t="shared" si="5"/>
        <v>63.347903860000002</v>
      </c>
      <c r="K99" s="5">
        <f t="shared" si="5"/>
        <v>63.347903860000002</v>
      </c>
      <c r="L99" s="6">
        <v>5.4379999999999997</v>
      </c>
      <c r="M99" s="1">
        <v>154</v>
      </c>
      <c r="N99" s="1"/>
    </row>
    <row r="100" spans="1:14" x14ac:dyDescent="0.3">
      <c r="A100" s="1" t="s">
        <v>19</v>
      </c>
      <c r="B100" s="5">
        <f t="shared" si="3"/>
        <v>71.136928940000004</v>
      </c>
      <c r="C100" s="5">
        <f t="shared" si="3"/>
        <v>119.85077132000002</v>
      </c>
      <c r="D100" s="1">
        <v>5.9580000000000002</v>
      </c>
      <c r="E100" s="1">
        <v>264</v>
      </c>
      <c r="F100" s="8">
        <f>SUM(D91:D100)</f>
        <v>45.540999999999997</v>
      </c>
      <c r="G100" s="4">
        <f t="shared" si="4"/>
        <v>-1.0810000000000031</v>
      </c>
      <c r="H100" s="10">
        <f>SUM(L91:L100)</f>
        <v>44.459999999999994</v>
      </c>
      <c r="I100" s="1" t="s">
        <v>19</v>
      </c>
      <c r="J100" s="5">
        <f t="shared" si="5"/>
        <v>63.347903860000002</v>
      </c>
      <c r="K100" s="5">
        <f t="shared" si="5"/>
        <v>142.82190818000001</v>
      </c>
      <c r="L100" s="5">
        <v>5.3460000000000001</v>
      </c>
      <c r="M100" s="1">
        <v>264</v>
      </c>
      <c r="N100" s="1"/>
    </row>
    <row r="101" spans="1:14" x14ac:dyDescent="0.3">
      <c r="A101" s="1" t="s">
        <v>34</v>
      </c>
      <c r="B101" s="5">
        <f t="shared" si="3"/>
        <v>87.153419339999999</v>
      </c>
      <c r="C101" s="5">
        <f t="shared" si="3"/>
        <v>87.153419339999999</v>
      </c>
      <c r="D101" s="1">
        <v>2.823</v>
      </c>
      <c r="E101" s="1">
        <v>110</v>
      </c>
      <c r="F101" s="8">
        <f>SUM(D91:D101)</f>
        <v>48.363999999999997</v>
      </c>
      <c r="G101" s="4">
        <f t="shared" si="4"/>
        <v>-0.73400000000000176</v>
      </c>
      <c r="H101" s="10">
        <f>SUM(L91:L101)</f>
        <v>47.629999999999995</v>
      </c>
      <c r="I101" s="1" t="s">
        <v>34</v>
      </c>
      <c r="J101" s="5">
        <f t="shared" si="5"/>
        <v>77.612870240000007</v>
      </c>
      <c r="K101" s="5">
        <f t="shared" si="5"/>
        <v>77.612870240000007</v>
      </c>
      <c r="L101" s="6">
        <v>3.17</v>
      </c>
      <c r="M101" s="1">
        <v>110</v>
      </c>
      <c r="N101" s="1"/>
    </row>
    <row r="102" spans="1:14" x14ac:dyDescent="0.3">
      <c r="A102" s="1" t="s">
        <v>20</v>
      </c>
      <c r="B102" s="5">
        <f t="shared" si="3"/>
        <v>87.153419339999999</v>
      </c>
      <c r="C102" s="5">
        <f t="shared" si="3"/>
        <v>136.53386984000002</v>
      </c>
      <c r="D102" s="1">
        <v>8.1880000000000006</v>
      </c>
      <c r="E102" s="1">
        <v>423</v>
      </c>
      <c r="F102" s="8">
        <f>SUM(D91:D102)</f>
        <v>56.552</v>
      </c>
      <c r="G102" s="4">
        <f t="shared" si="4"/>
        <v>-1.5600000000000023</v>
      </c>
      <c r="H102" s="10">
        <f>SUM(L91:L102)</f>
        <v>54.991999999999997</v>
      </c>
      <c r="I102" s="1" t="s">
        <v>20</v>
      </c>
      <c r="J102" s="5">
        <f t="shared" si="5"/>
        <v>77.612870240000007</v>
      </c>
      <c r="K102" s="5">
        <f t="shared" si="5"/>
        <v>162.66356598000002</v>
      </c>
      <c r="L102" s="5">
        <v>7.3620000000000001</v>
      </c>
      <c r="M102" s="1">
        <v>423</v>
      </c>
      <c r="N102" s="1"/>
    </row>
    <row r="103" spans="1:14" x14ac:dyDescent="0.3">
      <c r="A103" s="1" t="s">
        <v>6</v>
      </c>
      <c r="B103" s="5">
        <f t="shared" si="3"/>
        <v>46.080964000000009</v>
      </c>
      <c r="C103" s="5">
        <f t="shared" si="3"/>
        <v>46.080964000000009</v>
      </c>
      <c r="D103" s="1">
        <v>2.4369999999999998</v>
      </c>
      <c r="E103" s="1">
        <v>50.2</v>
      </c>
      <c r="F103" s="8">
        <f>SUM(D91:D103)</f>
        <v>58.988999999999997</v>
      </c>
      <c r="G103" s="4">
        <f t="shared" si="4"/>
        <v>-1.2610000000000028</v>
      </c>
      <c r="H103" s="10">
        <f>SUM(L91:L103)</f>
        <v>57.727999999999994</v>
      </c>
      <c r="I103" s="1" t="s">
        <v>6</v>
      </c>
      <c r="J103" s="5">
        <f t="shared" si="5"/>
        <v>41.036664299999998</v>
      </c>
      <c r="K103" s="5">
        <f t="shared" si="5"/>
        <v>41.036664299999998</v>
      </c>
      <c r="L103" s="6">
        <v>2.7360000000000002</v>
      </c>
      <c r="M103" s="1">
        <v>50.2</v>
      </c>
      <c r="N103" s="1"/>
    </row>
    <row r="104" spans="1:14" x14ac:dyDescent="0.3">
      <c r="A104" s="1" t="s">
        <v>7</v>
      </c>
      <c r="B104" s="5">
        <f t="shared" si="3"/>
        <v>57.227636019999998</v>
      </c>
      <c r="C104" s="5">
        <f t="shared" si="3"/>
        <v>57.227636019999998</v>
      </c>
      <c r="D104" s="1">
        <v>2.5950000000000002</v>
      </c>
      <c r="E104" s="1">
        <v>66.400000000000006</v>
      </c>
      <c r="F104" s="8">
        <f>SUM(D91:D104)</f>
        <v>61.583999999999996</v>
      </c>
      <c r="G104" s="4">
        <f t="shared" si="4"/>
        <v>-0.9410000000000025</v>
      </c>
      <c r="H104" s="10">
        <f>SUM(L91:L104)</f>
        <v>60.642999999999994</v>
      </c>
      <c r="I104" s="1" t="s">
        <v>7</v>
      </c>
      <c r="J104" s="5">
        <f t="shared" si="5"/>
        <v>50.961967080000001</v>
      </c>
      <c r="K104" s="5">
        <f t="shared" si="5"/>
        <v>50.961967080000001</v>
      </c>
      <c r="L104" s="6">
        <v>2.915</v>
      </c>
      <c r="M104" s="1">
        <v>66.400000000000006</v>
      </c>
      <c r="N104" s="1"/>
    </row>
    <row r="105" spans="1:14" x14ac:dyDescent="0.3">
      <c r="A105" s="1" t="s">
        <v>21</v>
      </c>
      <c r="B105" s="5">
        <f t="shared" si="3"/>
        <v>57.227636019999998</v>
      </c>
      <c r="C105" s="5">
        <f t="shared" si="3"/>
        <v>85.088723720000004</v>
      </c>
      <c r="D105" s="1">
        <v>2.121</v>
      </c>
      <c r="E105" s="1">
        <v>68.599999999999994</v>
      </c>
      <c r="F105" s="8">
        <f>SUM(D91:D105)</f>
        <v>63.704999999999998</v>
      </c>
      <c r="G105" s="4">
        <f t="shared" si="4"/>
        <v>-1.0300000000000011</v>
      </c>
      <c r="H105" s="10">
        <f>SUM(L91:L105)</f>
        <v>62.674999999999997</v>
      </c>
      <c r="I105" s="1" t="s">
        <v>21</v>
      </c>
      <c r="J105" s="5">
        <f t="shared" si="5"/>
        <v>50.961967080000001</v>
      </c>
      <c r="K105" s="5">
        <f t="shared" si="5"/>
        <v>96.910951620000006</v>
      </c>
      <c r="L105" s="5">
        <v>2.032</v>
      </c>
      <c r="M105" s="1">
        <v>68.599999999999994</v>
      </c>
      <c r="N105" s="1"/>
    </row>
    <row r="106" spans="1:14" x14ac:dyDescent="0.3">
      <c r="A106" s="1" t="s">
        <v>35</v>
      </c>
      <c r="B106" s="5">
        <f t="shared" si="3"/>
        <v>81.840686840000004</v>
      </c>
      <c r="C106" s="5">
        <f t="shared" si="3"/>
        <v>81.840686840000004</v>
      </c>
      <c r="D106" s="1">
        <v>5.6310000000000002</v>
      </c>
      <c r="E106" s="1">
        <v>206</v>
      </c>
      <c r="F106" s="8">
        <f>SUM(D91:D106)</f>
        <v>69.335999999999999</v>
      </c>
      <c r="G106" s="4">
        <f t="shared" si="4"/>
        <v>-0.33800000000000807</v>
      </c>
      <c r="H106" s="10">
        <f>SUM(L91:L106)</f>
        <v>68.99799999999999</v>
      </c>
      <c r="I106" s="1" t="s">
        <v>35</v>
      </c>
      <c r="J106" s="5">
        <f t="shared" si="5"/>
        <v>72.879505199999997</v>
      </c>
      <c r="K106" s="5">
        <f t="shared" si="5"/>
        <v>72.879505199999997</v>
      </c>
      <c r="L106" s="6">
        <v>6.3230000000000004</v>
      </c>
      <c r="M106" s="1">
        <v>206</v>
      </c>
      <c r="N106" s="1"/>
    </row>
    <row r="107" spans="1:14" x14ac:dyDescent="0.3">
      <c r="A107" s="1" t="s">
        <v>22</v>
      </c>
      <c r="B107" s="5">
        <f t="shared" si="3"/>
        <v>81.840686840000004</v>
      </c>
      <c r="C107" s="5">
        <f t="shared" si="3"/>
        <v>101.43628124</v>
      </c>
      <c r="D107" s="1">
        <v>2.371</v>
      </c>
      <c r="E107" s="1">
        <v>96.7</v>
      </c>
      <c r="F107" s="8">
        <f>SUM(D91:D107)</f>
        <v>71.706999999999994</v>
      </c>
      <c r="G107" s="4">
        <f t="shared" si="4"/>
        <v>-0.4339999999999975</v>
      </c>
      <c r="H107" s="3">
        <f>SUM(L91:L107)</f>
        <v>71.272999999999996</v>
      </c>
      <c r="I107" s="1" t="s">
        <v>22</v>
      </c>
      <c r="J107" s="5">
        <f t="shared" si="5"/>
        <v>72.879505199999997</v>
      </c>
      <c r="K107" s="5">
        <f t="shared" si="5"/>
        <v>113.43075352000001</v>
      </c>
      <c r="L107" s="5">
        <v>2.2749999999999999</v>
      </c>
      <c r="M107" s="1">
        <v>96.7</v>
      </c>
      <c r="N107" s="1"/>
    </row>
    <row r="108" spans="1:14" x14ac:dyDescent="0.3">
      <c r="A108" s="1" t="s">
        <v>36</v>
      </c>
      <c r="B108" s="5">
        <f t="shared" si="3"/>
        <v>77.120743439999998</v>
      </c>
      <c r="C108" s="5">
        <f t="shared" si="3"/>
        <v>77.120743439999998</v>
      </c>
      <c r="D108" s="1">
        <v>4.0609999999999999</v>
      </c>
      <c r="E108" s="1">
        <v>140</v>
      </c>
      <c r="F108">
        <f>SUM(D91:D108)</f>
        <v>75.768000000000001</v>
      </c>
      <c r="G108" s="9">
        <f t="shared" si="4"/>
        <v>6.4999999999997726E-2</v>
      </c>
      <c r="H108">
        <f>SUM(L91:L108)</f>
        <v>75.832999999999998</v>
      </c>
      <c r="I108" s="1" t="s">
        <v>36</v>
      </c>
      <c r="J108" s="5">
        <f t="shared" si="5"/>
        <v>68.678531880000008</v>
      </c>
      <c r="K108" s="5">
        <f t="shared" si="5"/>
        <v>68.678531880000008</v>
      </c>
      <c r="L108" s="6">
        <v>4.5599999999999996</v>
      </c>
      <c r="M108" s="1">
        <v>140</v>
      </c>
      <c r="N108" s="1"/>
    </row>
    <row r="109" spans="1:14" x14ac:dyDescent="0.3">
      <c r="A109" s="1" t="s">
        <v>23</v>
      </c>
      <c r="B109" s="5">
        <f t="shared" si="3"/>
        <v>77.120743439999998</v>
      </c>
      <c r="C109" s="5">
        <f t="shared" si="3"/>
        <v>112.15122384000001</v>
      </c>
      <c r="D109" s="1">
        <v>4.149</v>
      </c>
      <c r="E109" s="1">
        <v>179</v>
      </c>
      <c r="F109" s="8">
        <f>SUM(D91:D109)</f>
        <v>79.917000000000002</v>
      </c>
      <c r="G109" s="4">
        <f t="shared" si="4"/>
        <v>-0.23199999999999932</v>
      </c>
      <c r="H109" s="3">
        <f>SUM(L91:L109)</f>
        <v>79.685000000000002</v>
      </c>
      <c r="I109" s="1" t="s">
        <v>23</v>
      </c>
      <c r="J109" s="5">
        <f t="shared" si="5"/>
        <v>68.678531880000008</v>
      </c>
      <c r="K109" s="5">
        <f t="shared" si="5"/>
        <v>130.27714865999999</v>
      </c>
      <c r="L109" s="5">
        <v>3.8519999999999999</v>
      </c>
      <c r="M109" s="1">
        <v>179</v>
      </c>
      <c r="N109" s="1"/>
    </row>
    <row r="110" spans="1:14" x14ac:dyDescent="0.3">
      <c r="A110" s="1" t="s">
        <v>37</v>
      </c>
      <c r="B110" s="5">
        <f t="shared" si="3"/>
        <v>47.212855640000008</v>
      </c>
      <c r="C110" s="5">
        <f t="shared" si="3"/>
        <v>47.212855640000008</v>
      </c>
      <c r="D110" s="1">
        <v>3.3969999999999998</v>
      </c>
      <c r="E110" s="1">
        <v>71.7</v>
      </c>
      <c r="F110" s="8">
        <f>SUM(D91:D110)</f>
        <v>83.314000000000007</v>
      </c>
      <c r="G110" s="9">
        <f t="shared" si="4"/>
        <v>0.18800000000000239</v>
      </c>
      <c r="H110" s="3">
        <f>SUM(L91:L110)</f>
        <v>83.50200000000001</v>
      </c>
      <c r="I110" s="1" t="s">
        <v>37</v>
      </c>
      <c r="J110" s="5">
        <f t="shared" si="5"/>
        <v>42.016444020000009</v>
      </c>
      <c r="K110" s="5">
        <f t="shared" si="5"/>
        <v>42.016444020000009</v>
      </c>
      <c r="L110" s="6">
        <v>3.8170000000000002</v>
      </c>
      <c r="M110" s="1">
        <v>71.7</v>
      </c>
      <c r="N110" s="1"/>
    </row>
    <row r="111" spans="1:14" x14ac:dyDescent="0.3">
      <c r="A111" s="1" t="s">
        <v>9</v>
      </c>
      <c r="B111" s="5">
        <f t="shared" si="3"/>
        <v>47.212855640000008</v>
      </c>
      <c r="C111" s="5">
        <f t="shared" si="3"/>
        <v>119.44364824000002</v>
      </c>
      <c r="D111" s="1">
        <v>7.3369999999999997</v>
      </c>
      <c r="E111" s="1">
        <v>299</v>
      </c>
      <c r="F111" s="8">
        <f>SUM(D91:D111)</f>
        <v>90.65100000000001</v>
      </c>
      <c r="G111" s="4">
        <f t="shared" si="4"/>
        <v>-0.84199999999999875</v>
      </c>
      <c r="H111" s="3">
        <f>SUM(L91:L111)</f>
        <v>89.809000000000012</v>
      </c>
      <c r="I111" s="1" t="s">
        <v>9</v>
      </c>
      <c r="J111" s="5">
        <f t="shared" si="5"/>
        <v>42.016444020000009</v>
      </c>
      <c r="K111" s="5">
        <f t="shared" si="5"/>
        <v>145.41899552000001</v>
      </c>
      <c r="L111" s="5">
        <v>6.3070000000000004</v>
      </c>
      <c r="M111" s="1">
        <v>299</v>
      </c>
      <c r="N111" s="1"/>
    </row>
    <row r="112" spans="1:14" x14ac:dyDescent="0.3">
      <c r="I112" s="1"/>
      <c r="J112" s="1"/>
      <c r="K112" s="1"/>
      <c r="L112" s="1"/>
      <c r="M112" s="1"/>
      <c r="N112" s="1"/>
    </row>
    <row r="113" spans="4:14" x14ac:dyDescent="0.3">
      <c r="I113" s="1"/>
      <c r="L113" t="s">
        <v>39</v>
      </c>
      <c r="N113" s="1"/>
    </row>
    <row r="114" spans="4:14" x14ac:dyDescent="0.3">
      <c r="D114" t="s">
        <v>10</v>
      </c>
      <c r="I114" s="1"/>
      <c r="J114" s="1"/>
      <c r="K114" s="1"/>
      <c r="L114" s="1"/>
      <c r="M114" s="1"/>
      <c r="N114" s="1"/>
    </row>
    <row r="115" spans="4:14" x14ac:dyDescent="0.3">
      <c r="I115" s="1"/>
      <c r="J115" s="1"/>
      <c r="K115" s="1"/>
      <c r="L115" s="1"/>
      <c r="M115" s="1"/>
      <c r="N115" s="1"/>
    </row>
    <row r="116" spans="4:14" x14ac:dyDescent="0.3">
      <c r="I116" s="1"/>
      <c r="J116" s="1"/>
      <c r="K116" s="1"/>
      <c r="L116" s="1"/>
      <c r="M116" s="1"/>
    </row>
  </sheetData>
  <hyperlinks>
    <hyperlink ref="P18" r:id="rId1" xr:uid="{86AE4E6B-51E6-42AA-B394-4B4D643034DE}"/>
  </hyperlinks>
  <pageMargins left="0.7" right="0.7" top="0.75" bottom="0.75" header="0.3" footer="0.3"/>
  <pageSetup paperSize="9" orientation="portrait" horizontalDpi="300" verticalDpi="300"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 Abdullah</dc:creator>
  <cp:lastModifiedBy>Nass Abdullah</cp:lastModifiedBy>
  <dcterms:created xsi:type="dcterms:W3CDTF">2021-12-06T23:26:07Z</dcterms:created>
  <dcterms:modified xsi:type="dcterms:W3CDTF">2021-12-10T07:14:41Z</dcterms:modified>
</cp:coreProperties>
</file>